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chool Stuff\Old Sessions\9 - Spring 2026\02 - Econ 732 (Thesis Golf Course)\2 - Work\Cleaned Data\"/>
    </mc:Choice>
  </mc:AlternateContent>
  <xr:revisionPtr revIDLastSave="0" documentId="13_ncr:1_{0837CFF5-F8C3-4DDB-83DB-380F9E216AF5}" xr6:coauthVersionLast="47" xr6:coauthVersionMax="47" xr10:uidLastSave="{00000000-0000-0000-0000-000000000000}"/>
  <bookViews>
    <workbookView xWindow="-120" yWindow="-120" windowWidth="29040" windowHeight="15720" xr2:uid="{55F52B40-AF5F-44AE-A1CF-15B85D718DC9}"/>
  </bookViews>
  <sheets>
    <sheet name="HI_Golf_Courses_with_Addresses" sheetId="1" r:id="rId1"/>
    <sheet name="HI Golf Cour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H2" i="1"/>
  <c r="G2" i="1"/>
</calcChain>
</file>

<file path=xl/sharedStrings.xml><?xml version="1.0" encoding="utf-8"?>
<sst xmlns="http://schemas.openxmlformats.org/spreadsheetml/2006/main" count="234" uniqueCount="193">
  <si>
    <t>course_id</t>
  </si>
  <si>
    <t>name</t>
  </si>
  <si>
    <t>address</t>
  </si>
  <si>
    <t>city</t>
  </si>
  <si>
    <t>final_acreage</t>
  </si>
  <si>
    <t>estimated_land_value</t>
  </si>
  <si>
    <t>Kahuku</t>
  </si>
  <si>
    <t>The Turtle Bay Resort &amp; Golf Club</t>
  </si>
  <si>
    <t>57-049 Kuilima Dr</t>
  </si>
  <si>
    <t>Hawaii Prince Golf Club</t>
  </si>
  <si>
    <t>91-1200 Fort Weaver Rd</t>
  </si>
  <si>
    <t>Ewa Beach</t>
  </si>
  <si>
    <t>Kaneohe</t>
  </si>
  <si>
    <t>Koolau Golf Club</t>
  </si>
  <si>
    <t>45-550 Kionaole Rd</t>
  </si>
  <si>
    <t>Ewa Villages Golf Course</t>
  </si>
  <si>
    <t>91-1760 Park Row</t>
  </si>
  <si>
    <t>Pearl Country Club</t>
  </si>
  <si>
    <t>98-535 Kaonohi St</t>
  </si>
  <si>
    <t>Aiea</t>
  </si>
  <si>
    <t>Kaanapali Golf Courses</t>
  </si>
  <si>
    <t>2290 Kaanapali Pkwy</t>
  </si>
  <si>
    <t>Lahaina</t>
  </si>
  <si>
    <t>Kaneohe Klipper Marine Golf Course</t>
  </si>
  <si>
    <t>Kaneohe Marine Corps Air Stn.</t>
  </si>
  <si>
    <t>Kaneohe Bay</t>
  </si>
  <si>
    <t>Coral Creek Golf Course</t>
  </si>
  <si>
    <t>91-1111 Geiger Rd</t>
  </si>
  <si>
    <t>350 Eastman Rd</t>
  </si>
  <si>
    <t>Schofield Barracks</t>
  </si>
  <si>
    <t>Kapolei Golf Course</t>
  </si>
  <si>
    <t>91-701 Farrington Hwy</t>
  </si>
  <si>
    <t>Kapolei</t>
  </si>
  <si>
    <t>Ewa Beach Golf Club</t>
  </si>
  <si>
    <t>91-050 Fort Weaver Rd</t>
  </si>
  <si>
    <t>Ko Olina Golf Club</t>
  </si>
  <si>
    <t>92-1220 Aliinui Dr</t>
  </si>
  <si>
    <t>Luana Hills Country Club</t>
  </si>
  <si>
    <t>770 Auloa Rd</t>
  </si>
  <si>
    <t>Kailua</t>
  </si>
  <si>
    <t>Waialae Country Club</t>
  </si>
  <si>
    <t>4997 Kahala Ave</t>
  </si>
  <si>
    <t>Honolulu</t>
  </si>
  <si>
    <t>Royal Kunia Country Club</t>
  </si>
  <si>
    <t>94-1509 Anonui St</t>
  </si>
  <si>
    <t>Waipahu</t>
  </si>
  <si>
    <t>Navy Marine Golf Course</t>
  </si>
  <si>
    <t>943 Valkenburgh St Bldg 888</t>
  </si>
  <si>
    <t>Mamala Bay Golf Course</t>
  </si>
  <si>
    <t>15 SVS/SVBG</t>
  </si>
  <si>
    <t>Hickam Afb</t>
  </si>
  <si>
    <t>Hoakalei Country Club At Ocean Pointe</t>
  </si>
  <si>
    <t>91-1050 Kaileolea Fr</t>
  </si>
  <si>
    <t>West Loch Municipal Golf Course</t>
  </si>
  <si>
    <t>91-1126 Okupe St</t>
  </si>
  <si>
    <t>Ala Wai Golf Course</t>
  </si>
  <si>
    <t>404 Kapahulu Ave</t>
  </si>
  <si>
    <t>Ted Makalena Golf Course</t>
  </si>
  <si>
    <t>93-059 Waipio Point Access Rd</t>
  </si>
  <si>
    <t>Honolulu Country Club</t>
  </si>
  <si>
    <t>1690 Ala Puumalu St</t>
  </si>
  <si>
    <t>Makaha Resort Golf Club</t>
  </si>
  <si>
    <t>84-626 Makaha Valley Rd</t>
  </si>
  <si>
    <t>Waianae</t>
  </si>
  <si>
    <t>Mililani Golf Club</t>
  </si>
  <si>
    <t>95-176 Kuahelani Ave</t>
  </si>
  <si>
    <t>Mililani</t>
  </si>
  <si>
    <t>Olomana Golf Links</t>
  </si>
  <si>
    <t>41-1801 Kalanianaole Hwy</t>
  </si>
  <si>
    <t>Waimanalo</t>
  </si>
  <si>
    <t>Barbers Point Golf Course</t>
  </si>
  <si>
    <t>915 North Rd</t>
  </si>
  <si>
    <t>Pearl Harbor</t>
  </si>
  <si>
    <t>Oahu Country Club</t>
  </si>
  <si>
    <t>150 Country Club Rd</t>
  </si>
  <si>
    <t>Makena Golf Courses</t>
  </si>
  <si>
    <t>5414 Makena Alanui</t>
  </si>
  <si>
    <t>Kihei</t>
  </si>
  <si>
    <t>Hawaii Country Club</t>
  </si>
  <si>
    <t>94-1211 Kunia Road</t>
  </si>
  <si>
    <t>Wahiawa</t>
  </si>
  <si>
    <t>Bayview Golf Park</t>
  </si>
  <si>
    <t>45-285 Kaneohe Bay Dr</t>
  </si>
  <si>
    <t>Moanalua Golf Club</t>
  </si>
  <si>
    <t>1250 Ala Aolani St</t>
  </si>
  <si>
    <t>Wailea Golf Club</t>
  </si>
  <si>
    <t>100 Wailea Golf Club Dr</t>
  </si>
  <si>
    <t>Maui Country Club</t>
  </si>
  <si>
    <t>48 Nonohe Pl</t>
  </si>
  <si>
    <t>Paia</t>
  </si>
  <si>
    <t>The Challenge at Manele</t>
  </si>
  <si>
    <t>One Challenge Drive</t>
  </si>
  <si>
    <t>Lanai</t>
  </si>
  <si>
    <t>Walter J. Nagorski Golf Course</t>
  </si>
  <si>
    <t>Maui Elleair Golf Club</t>
  </si>
  <si>
    <t>1345 Piilani Hwy</t>
  </si>
  <si>
    <t>Pukalani Country Club</t>
  </si>
  <si>
    <t>360 Pukalani St</t>
  </si>
  <si>
    <t>Makawao</t>
  </si>
  <si>
    <t>Waiehu Municipal Golf Course</t>
  </si>
  <si>
    <t>200A Halewaiu Rd</t>
  </si>
  <si>
    <t>Wailuku</t>
  </si>
  <si>
    <t>Ironwood Hills Golf Club</t>
  </si>
  <si>
    <t>Kalae Highway  Kualapuu</t>
  </si>
  <si>
    <t>Kualapuu</t>
  </si>
  <si>
    <t>Waikele Golf Club</t>
  </si>
  <si>
    <t>94-200 Paioa Pl</t>
  </si>
  <si>
    <t>The Dunes At Maui Lani Golf Course</t>
  </si>
  <si>
    <t>1333 Mauilani Pkwy</t>
  </si>
  <si>
    <t>Kahului</t>
  </si>
  <si>
    <t>Cavendish Golf Course</t>
  </si>
  <si>
    <t>Adjacent to Lodge at Koele</t>
  </si>
  <si>
    <t>Lanai City</t>
  </si>
  <si>
    <t>The Experience at Koele</t>
  </si>
  <si>
    <t>The Lodge At Koele</t>
  </si>
  <si>
    <t>Makalei Hawaii Country Club</t>
  </si>
  <si>
    <t>72-3890 Hawaii Belt Rd</t>
  </si>
  <si>
    <t>Kailua Kona</t>
  </si>
  <si>
    <t>Kauai Lagoon Resort</t>
  </si>
  <si>
    <t>3351 Hoolaulea Way</t>
  </si>
  <si>
    <t>Lihue</t>
  </si>
  <si>
    <t>King Kamehameha Golf Club</t>
  </si>
  <si>
    <t>2500 Honoapiilani Hwy</t>
  </si>
  <si>
    <t>Poipu Bay Resort Golf Course</t>
  </si>
  <si>
    <t>2250 Ainako St</t>
  </si>
  <si>
    <t>Koloa</t>
  </si>
  <si>
    <t>Hualalai Golf Club Kaupulehu</t>
  </si>
  <si>
    <t>100 Kaupulehu Dr</t>
  </si>
  <si>
    <t>Kona</t>
  </si>
  <si>
    <t>Wailua Municipal Golf Course</t>
  </si>
  <si>
    <t>3-5350 Kuhio Hwy</t>
  </si>
  <si>
    <t>Wailua</t>
  </si>
  <si>
    <t>Seamountain Golf Course</t>
  </si>
  <si>
    <t>Highway 11</t>
  </si>
  <si>
    <t>Pahala</t>
  </si>
  <si>
    <t>Kona Country Club</t>
  </si>
  <si>
    <t>78-7000 Alii Dr</t>
  </si>
  <si>
    <t>Kohanaiki Golf &amp; Ocean Club</t>
  </si>
  <si>
    <t>73-4676 Queen Kaahumanu Hwy</t>
  </si>
  <si>
    <t>Princeville Golf Club</t>
  </si>
  <si>
    <t>5-3900 Kuhio Hwy</t>
  </si>
  <si>
    <t>Princeville</t>
  </si>
  <si>
    <t>Kapalua Golf Club</t>
  </si>
  <si>
    <t>300 Kapalua Dr</t>
  </si>
  <si>
    <t>Mid Pacific Country Club</t>
  </si>
  <si>
    <t>266 Kaelepulu Dr</t>
  </si>
  <si>
    <t>Big Island Country Club</t>
  </si>
  <si>
    <t>71-1420 Mamalahoa Hwy</t>
  </si>
  <si>
    <t>Kiahuna Golf Club</t>
  </si>
  <si>
    <t>2545 Kiahuna Plantation Dr</t>
  </si>
  <si>
    <t>Hawaii Kai Golf Course</t>
  </si>
  <si>
    <t>8902 Kalanianaole Hwy</t>
  </si>
  <si>
    <t>Mauna Lani Resort Golf Course</t>
  </si>
  <si>
    <t>68-1050 Makaiwa Pl</t>
  </si>
  <si>
    <t>Kamuela</t>
  </si>
  <si>
    <t>Hapuna Golf Course</t>
  </si>
  <si>
    <t>62-100 Kanuna'oa Drive</t>
  </si>
  <si>
    <t>Hamakua Country Club</t>
  </si>
  <si>
    <t>Highway 19</t>
  </si>
  <si>
    <t>Honokaa</t>
  </si>
  <si>
    <t>Waikoloa Beach Resort Golf Course</t>
  </si>
  <si>
    <t>600 Waikoloa Beach Dr</t>
  </si>
  <si>
    <t>Waikoloa</t>
  </si>
  <si>
    <t>Waimea Golf Club</t>
  </si>
  <si>
    <t>47-5220 Mamamlahoa Hwy</t>
  </si>
  <si>
    <t>Puakea Golf Course</t>
  </si>
  <si>
    <t>4150 Nuhou St</t>
  </si>
  <si>
    <t>Kukuiolono Golf Club</t>
  </si>
  <si>
    <t>854 Puu Rd</t>
  </si>
  <si>
    <t>Kalaheo</t>
  </si>
  <si>
    <t>Volcano Golf and Country Club</t>
  </si>
  <si>
    <t>99-1261 Pii Mauna</t>
  </si>
  <si>
    <t>Volcanoes Natl Pk</t>
  </si>
  <si>
    <t>Hilo Municipal Golf Course</t>
  </si>
  <si>
    <t>340 Haihai St</t>
  </si>
  <si>
    <t>Hilo</t>
  </si>
  <si>
    <t>100 Kaahumanu Drive</t>
  </si>
  <si>
    <t>Makai Golf Club At Princeville</t>
  </si>
  <si>
    <t>4080 Lei O Papa Rd</t>
  </si>
  <si>
    <t>Nanea Golf Club</t>
  </si>
  <si>
    <t>72-2921 Kaupulehu Rd</t>
  </si>
  <si>
    <t>Club At Hokulia</t>
  </si>
  <si>
    <t>78-6831 Alii Dr</t>
  </si>
  <si>
    <t>Waikoloa Village Golf Club</t>
  </si>
  <si>
    <t>68-1792 Melia St</t>
  </si>
  <si>
    <t>Kukio Makai Beach Golf Club</t>
  </si>
  <si>
    <t>87 Mile Marker</t>
  </si>
  <si>
    <t>Mauna Kea Resort</t>
  </si>
  <si>
    <t>62-100 Mauna Kea Beach Dr</t>
  </si>
  <si>
    <t>tmk</t>
  </si>
  <si>
    <t>longitude</t>
  </si>
  <si>
    <t>latitude</t>
  </si>
  <si>
    <t>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</si>
</sst>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926A-F569-4D82-BE05-2F40E266E0F8}">
  <dimension ref="A1:H74"/>
  <sheetViews>
    <sheetView tabSelected="1" workbookViewId="0">
      <selection activeCell="H9" sqref="H9"/>
    </sheetView>
  </sheetViews>
  <sheetFormatPr defaultRowHeight="15"/>
  <cols>
    <col min="1" max="1" width="9.5703125" bestFit="1" customWidth="1"/>
    <col min="2" max="2" width="36.140625" bestFit="1" customWidth="1"/>
    <col min="3" max="3" width="30" bestFit="1" customWidth="1"/>
    <col min="4" max="4" width="17.28515625" bestFit="1" customWidth="1"/>
    <col min="5" max="5" width="12.85546875" bestFit="1" customWidth="1"/>
    <col min="6" max="6" width="2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191</v>
      </c>
      <c r="H1" t="s">
        <v>190</v>
      </c>
    </row>
    <row r="2" spans="1:8">
      <c r="A2">
        <v>3742</v>
      </c>
      <c r="B2" t="s">
        <v>7</v>
      </c>
      <c r="C2" t="s">
        <v>8</v>
      </c>
      <c r="D2" t="s">
        <v>6</v>
      </c>
      <c r="E2">
        <v>498.16402959522202</v>
      </c>
      <c r="F2">
        <v>495424127.43244898</v>
      </c>
      <c r="G2" s="2">
        <f>VLOOKUP(A2, 'HI Golf Courses'!$A:$E, 4, FALSE)</f>
        <v>21.703410000000002</v>
      </c>
      <c r="H2">
        <f>VLOOKUP(A2, 'HI Golf Courses'!$A:$E, 5, FALSE)</f>
        <v>-157.99770000000001</v>
      </c>
    </row>
    <row r="3" spans="1:8">
      <c r="A3">
        <v>3729</v>
      </c>
      <c r="B3" t="s">
        <v>9</v>
      </c>
      <c r="C3" t="s">
        <v>10</v>
      </c>
      <c r="D3" t="s">
        <v>11</v>
      </c>
      <c r="E3">
        <v>271.27667374055301</v>
      </c>
      <c r="F3">
        <v>269784652.03498</v>
      </c>
      <c r="G3" s="2">
        <f>VLOOKUP(A3, 'HI Golf Courses'!$A:$E, 4, FALSE)</f>
        <v>21.330739999999999</v>
      </c>
      <c r="H3">
        <f>VLOOKUP(A3, 'HI Golf Courses'!$A:$E, 5, FALSE)</f>
        <v>-158.0213</v>
      </c>
    </row>
    <row r="4" spans="1:8">
      <c r="A4">
        <v>3761</v>
      </c>
      <c r="B4" t="s">
        <v>13</v>
      </c>
      <c r="C4" t="s">
        <v>14</v>
      </c>
      <c r="D4" t="s">
        <v>12</v>
      </c>
      <c r="E4">
        <v>235.633680368981</v>
      </c>
      <c r="F4">
        <v>234337695.12695199</v>
      </c>
      <c r="G4" s="2">
        <f>VLOOKUP(A4, 'HI Golf Courses'!$A:$E, 4, FALSE)</f>
        <v>21.378240000000002</v>
      </c>
      <c r="H4">
        <f>VLOOKUP(A4, 'HI Golf Courses'!$A:$E, 5, FALSE)</f>
        <v>-157.79169999999999</v>
      </c>
    </row>
    <row r="5" spans="1:8">
      <c r="A5">
        <v>3725</v>
      </c>
      <c r="B5" t="s">
        <v>15</v>
      </c>
      <c r="C5" t="s">
        <v>16</v>
      </c>
      <c r="D5" t="s">
        <v>11</v>
      </c>
      <c r="E5">
        <v>232.392022891615</v>
      </c>
      <c r="F5">
        <v>231113866.76571101</v>
      </c>
      <c r="G5" s="2">
        <f>VLOOKUP(A5, 'HI Golf Courses'!$A:$E, 4, FALSE)</f>
        <v>21.343</v>
      </c>
      <c r="H5">
        <f>VLOOKUP(A5, 'HI Golf Courses'!$A:$E, 5, FALSE)</f>
        <v>-158.03989999999999</v>
      </c>
    </row>
    <row r="6" spans="1:8">
      <c r="A6">
        <v>3724</v>
      </c>
      <c r="B6" t="s">
        <v>17</v>
      </c>
      <c r="C6" t="s">
        <v>18</v>
      </c>
      <c r="D6" t="s">
        <v>19</v>
      </c>
      <c r="E6">
        <v>224.73941957600101</v>
      </c>
      <c r="F6">
        <v>223503352.76833299</v>
      </c>
      <c r="G6" s="2">
        <f>VLOOKUP(A6, 'HI Golf Courses'!$A:$E, 4, FALSE)</f>
        <v>21.39331</v>
      </c>
      <c r="H6">
        <f>VLOOKUP(A6, 'HI Golf Courses'!$A:$E, 5, FALSE)</f>
        <v>-157.93610000000001</v>
      </c>
    </row>
    <row r="7" spans="1:8">
      <c r="A7">
        <v>3771</v>
      </c>
      <c r="B7" t="s">
        <v>20</v>
      </c>
      <c r="C7" t="s">
        <v>21</v>
      </c>
      <c r="D7" t="s">
        <v>22</v>
      </c>
      <c r="E7">
        <v>437.00431993399002</v>
      </c>
      <c r="F7">
        <v>218851763.42294201</v>
      </c>
      <c r="G7" s="2">
        <f>VLOOKUP(A7, 'HI Golf Courses'!$A:$E, 4, FALSE)</f>
        <v>20.917570000000001</v>
      </c>
      <c r="H7">
        <f>VLOOKUP(A7, 'HI Golf Courses'!$A:$E, 5, FALSE)</f>
        <v>-156.6909</v>
      </c>
    </row>
    <row r="8" spans="1:8">
      <c r="A8">
        <v>3758</v>
      </c>
      <c r="B8" t="s">
        <v>23</v>
      </c>
      <c r="C8" t="s">
        <v>24</v>
      </c>
      <c r="D8" t="s">
        <v>25</v>
      </c>
      <c r="E8">
        <v>195.64320753092201</v>
      </c>
      <c r="F8">
        <v>194567169.88950199</v>
      </c>
      <c r="G8" s="2">
        <f>VLOOKUP(A8, 'HI Golf Courses'!$A:$E, 4, FALSE)</f>
        <v>21.44604</v>
      </c>
      <c r="H8">
        <f>VLOOKUP(A8, 'HI Golf Courses'!$A:$E, 5, FALSE)</f>
        <v>-157.76159999999999</v>
      </c>
    </row>
    <row r="9" spans="1:8">
      <c r="A9">
        <v>3728</v>
      </c>
      <c r="B9" t="s">
        <v>26</v>
      </c>
      <c r="C9" t="s">
        <v>27</v>
      </c>
      <c r="D9" t="s">
        <v>11</v>
      </c>
      <c r="E9">
        <v>195.55774105111499</v>
      </c>
      <c r="F9">
        <v>194482173.47533301</v>
      </c>
      <c r="G9" s="2">
        <f>VLOOKUP(A9, 'HI Golf Courses'!$A:$E, 4, FALSE)</f>
        <v>21.330200000000001</v>
      </c>
      <c r="H9">
        <f>VLOOKUP(A9, 'HI Golf Courses'!$A:$E, 5, FALSE)</f>
        <v>-158.03200000000001</v>
      </c>
    </row>
    <row r="10" spans="1:8">
      <c r="A10">
        <v>3762</v>
      </c>
      <c r="B10" t="s">
        <v>30</v>
      </c>
      <c r="C10" t="s">
        <v>31</v>
      </c>
      <c r="D10" t="s">
        <v>32</v>
      </c>
      <c r="E10">
        <v>190.99461633894899</v>
      </c>
      <c r="F10">
        <v>189944145.949085</v>
      </c>
      <c r="G10" s="2">
        <f>VLOOKUP(A10, 'HI Golf Courses'!$A:$E, 4, FALSE)</f>
        <v>21.349070000000001</v>
      </c>
      <c r="H10">
        <f>VLOOKUP(A10, 'HI Golf Courses'!$A:$E, 5, FALSE)</f>
        <v>-158.065</v>
      </c>
    </row>
    <row r="11" spans="1:8">
      <c r="A11">
        <v>3730</v>
      </c>
      <c r="B11" t="s">
        <v>33</v>
      </c>
      <c r="C11" t="s">
        <v>34</v>
      </c>
      <c r="D11" t="s">
        <v>11</v>
      </c>
      <c r="E11">
        <v>190.90304264134801</v>
      </c>
      <c r="F11">
        <v>189853075.90682101</v>
      </c>
      <c r="G11" s="2">
        <f>VLOOKUP(A11, 'HI Golf Courses'!$A:$E, 4, FALSE)</f>
        <v>21.315180000000002</v>
      </c>
      <c r="H11">
        <f>VLOOKUP(A11, 'HI Golf Courses'!$A:$E, 5, FALSE)</f>
        <v>-157.9924</v>
      </c>
    </row>
    <row r="12" spans="1:8">
      <c r="A12">
        <v>3763</v>
      </c>
      <c r="B12" t="s">
        <v>35</v>
      </c>
      <c r="C12" t="s">
        <v>36</v>
      </c>
      <c r="D12" t="s">
        <v>32</v>
      </c>
      <c r="E12">
        <v>187.76780146008201</v>
      </c>
      <c r="F12">
        <v>186735078.55205199</v>
      </c>
      <c r="G12" s="2">
        <f>VLOOKUP(A12, 'HI Golf Courses'!$A:$E, 4, FALSE)</f>
        <v>21.338719999999999</v>
      </c>
      <c r="H12">
        <f>VLOOKUP(A12, 'HI Golf Courses'!$A:$E, 5, FALSE)</f>
        <v>-158.12100000000001</v>
      </c>
    </row>
    <row r="13" spans="1:8">
      <c r="A13">
        <v>3751</v>
      </c>
      <c r="B13" t="s">
        <v>37</v>
      </c>
      <c r="C13" t="s">
        <v>38</v>
      </c>
      <c r="D13" t="s">
        <v>39</v>
      </c>
      <c r="E13">
        <v>168.19744867426601</v>
      </c>
      <c r="F13">
        <v>167272362.70655799</v>
      </c>
      <c r="G13" s="2">
        <f>VLOOKUP(A13, 'HI Golf Courses'!$A:$E, 4, FALSE)</f>
        <v>21.376059999999999</v>
      </c>
      <c r="H13">
        <f>VLOOKUP(A13, 'HI Golf Courses'!$A:$E, 5, FALSE)</f>
        <v>-157.76349999999999</v>
      </c>
    </row>
    <row r="14" spans="1:8">
      <c r="A14">
        <v>3738</v>
      </c>
      <c r="B14" t="s">
        <v>40</v>
      </c>
      <c r="C14" t="s">
        <v>41</v>
      </c>
      <c r="D14" t="s">
        <v>42</v>
      </c>
      <c r="E14">
        <v>165.39543393773201</v>
      </c>
      <c r="F14">
        <v>164485759.05107501</v>
      </c>
      <c r="G14" s="2">
        <f>VLOOKUP(A14, 'HI Golf Courses'!$A:$E, 4, FALSE)</f>
        <v>21.27094</v>
      </c>
      <c r="H14">
        <f>VLOOKUP(A14, 'HI Golf Courses'!$A:$E, 5, FALSE)</f>
        <v>-157.77699999999999</v>
      </c>
    </row>
    <row r="15" spans="1:8">
      <c r="A15">
        <v>3799</v>
      </c>
      <c r="B15" t="s">
        <v>43</v>
      </c>
      <c r="C15" t="s">
        <v>44</v>
      </c>
      <c r="D15" t="s">
        <v>45</v>
      </c>
      <c r="E15">
        <v>154.049400568468</v>
      </c>
      <c r="F15">
        <v>153202128.86534199</v>
      </c>
      <c r="G15" s="2">
        <f>VLOOKUP(A15, 'HI Golf Courses'!$A:$E, 4, FALSE)</f>
        <v>21.40624</v>
      </c>
      <c r="H15">
        <f>VLOOKUP(A15, 'HI Golf Courses'!$A:$E, 5, FALSE)</f>
        <v>-158.02539999999999</v>
      </c>
    </row>
    <row r="16" spans="1:8">
      <c r="A16">
        <v>3739</v>
      </c>
      <c r="B16" t="s">
        <v>46</v>
      </c>
      <c r="C16" t="s">
        <v>47</v>
      </c>
      <c r="D16" t="s">
        <v>42</v>
      </c>
      <c r="E16">
        <v>152.69451185535499</v>
      </c>
      <c r="F16">
        <v>151854692.040151</v>
      </c>
      <c r="G16" s="2">
        <f>VLOOKUP(A16, 'HI Golf Courses'!$A:$E, 4, FALSE)</f>
        <v>21.34393</v>
      </c>
      <c r="H16">
        <f>VLOOKUP(A16, 'HI Golf Courses'!$A:$E, 5, FALSE)</f>
        <v>-157.92779999999999</v>
      </c>
    </row>
    <row r="17" spans="1:8">
      <c r="A17">
        <v>3731</v>
      </c>
      <c r="B17" t="s">
        <v>48</v>
      </c>
      <c r="C17" t="s">
        <v>49</v>
      </c>
      <c r="D17" t="s">
        <v>50</v>
      </c>
      <c r="E17">
        <v>152.179536350989</v>
      </c>
      <c r="F17">
        <v>151342548.90105799</v>
      </c>
      <c r="G17" s="2">
        <f>VLOOKUP(A17, 'HI Golf Courses'!$A:$E, 4, FALSE)</f>
        <v>21.33466</v>
      </c>
      <c r="H17">
        <f>VLOOKUP(A17, 'HI Golf Courses'!$A:$E, 5, FALSE)</f>
        <v>-157.952</v>
      </c>
    </row>
    <row r="18" spans="1:8">
      <c r="A18">
        <v>3727</v>
      </c>
      <c r="B18" t="s">
        <v>51</v>
      </c>
      <c r="C18" t="s">
        <v>52</v>
      </c>
      <c r="D18" t="s">
        <v>11</v>
      </c>
      <c r="E18">
        <v>151.306580339372</v>
      </c>
      <c r="F18">
        <v>150474394.147506</v>
      </c>
      <c r="G18" s="2">
        <f>VLOOKUP(A18, 'HI Golf Courses'!$A:$E, 4, FALSE)</f>
        <v>21.315709999999999</v>
      </c>
      <c r="H18">
        <f>VLOOKUP(A18, 'HI Golf Courses'!$A:$E, 5, FALSE)</f>
        <v>-157.99250000000001</v>
      </c>
    </row>
    <row r="19" spans="1:8">
      <c r="A19">
        <v>3726</v>
      </c>
      <c r="B19" t="s">
        <v>53</v>
      </c>
      <c r="C19" t="s">
        <v>54</v>
      </c>
      <c r="D19" t="s">
        <v>11</v>
      </c>
      <c r="E19">
        <v>150.226242981121</v>
      </c>
      <c r="F19">
        <v>149399998.64472499</v>
      </c>
      <c r="G19" s="2">
        <f>VLOOKUP(A19, 'HI Golf Courses'!$A:$E, 4, FALSE)</f>
        <v>21.368870000000001</v>
      </c>
      <c r="H19">
        <f>VLOOKUP(A19, 'HI Golf Courses'!$A:$E, 5, FALSE)</f>
        <v>-158.02459999999999</v>
      </c>
    </row>
    <row r="20" spans="1:8">
      <c r="A20">
        <v>3734</v>
      </c>
      <c r="B20" t="s">
        <v>55</v>
      </c>
      <c r="C20" t="s">
        <v>56</v>
      </c>
      <c r="D20" t="s">
        <v>42</v>
      </c>
      <c r="E20">
        <v>148.40083921447399</v>
      </c>
      <c r="F20">
        <v>147584634.59879401</v>
      </c>
      <c r="G20" s="2">
        <f>VLOOKUP(A20, 'HI Golf Courses'!$A:$E, 4, FALSE)</f>
        <v>21.274180000000001</v>
      </c>
      <c r="H20">
        <f>VLOOKUP(A20, 'HI Golf Courses'!$A:$E, 5, FALSE)</f>
        <v>-157.81630000000001</v>
      </c>
    </row>
    <row r="21" spans="1:8">
      <c r="A21">
        <v>3798</v>
      </c>
      <c r="B21" t="s">
        <v>57</v>
      </c>
      <c r="C21" t="s">
        <v>58</v>
      </c>
      <c r="D21" t="s">
        <v>45</v>
      </c>
      <c r="E21">
        <v>133.14687838913699</v>
      </c>
      <c r="F21">
        <v>132414570.557997</v>
      </c>
      <c r="G21" s="2">
        <f>VLOOKUP(A21, 'HI Golf Courses'!$A:$E, 4, FALSE)</f>
        <v>21.396540000000002</v>
      </c>
      <c r="H21">
        <f>VLOOKUP(A21, 'HI Golf Courses'!$A:$E, 5, FALSE)</f>
        <v>-157.9949</v>
      </c>
    </row>
    <row r="22" spans="1:8">
      <c r="A22">
        <v>3735</v>
      </c>
      <c r="B22" t="s">
        <v>59</v>
      </c>
      <c r="C22" t="s">
        <v>60</v>
      </c>
      <c r="D22" t="s">
        <v>42</v>
      </c>
      <c r="E22">
        <v>133.14151584194499</v>
      </c>
      <c r="F22">
        <v>132409237.504815</v>
      </c>
      <c r="G22" s="2">
        <f>VLOOKUP(A22, 'HI Golf Courses'!$A:$E, 4, FALSE)</f>
        <v>21.354869999999998</v>
      </c>
      <c r="H22">
        <f>VLOOKUP(A22, 'HI Golf Courses'!$A:$E, 5, FALSE)</f>
        <v>-157.90360000000001</v>
      </c>
    </row>
    <row r="23" spans="1:8">
      <c r="A23">
        <v>3789</v>
      </c>
      <c r="B23" t="s">
        <v>61</v>
      </c>
      <c r="C23" t="s">
        <v>62</v>
      </c>
      <c r="D23" t="s">
        <v>63</v>
      </c>
      <c r="E23">
        <v>132.15602960309701</v>
      </c>
      <c r="F23">
        <v>131429171.44028001</v>
      </c>
      <c r="G23" s="2">
        <f>VLOOKUP(A23, 'HI Golf Courses'!$A:$E, 4, FALSE)</f>
        <v>21.472190000000001</v>
      </c>
      <c r="H23">
        <f>VLOOKUP(A23, 'HI Golf Courses'!$A:$E, 5, FALSE)</f>
        <v>-158.19919999999999</v>
      </c>
    </row>
    <row r="24" spans="1:8">
      <c r="A24">
        <v>3779</v>
      </c>
      <c r="B24" t="s">
        <v>64</v>
      </c>
      <c r="C24" t="s">
        <v>65</v>
      </c>
      <c r="D24" t="s">
        <v>66</v>
      </c>
      <c r="E24">
        <v>126.922986684606</v>
      </c>
      <c r="F24">
        <v>126224910.25784101</v>
      </c>
      <c r="G24" s="2">
        <f>VLOOKUP(A24, 'HI Golf Courses'!$A:$E, 4, FALSE)</f>
        <v>21.45412</v>
      </c>
      <c r="H24">
        <f>VLOOKUP(A24, 'HI Golf Courses'!$A:$E, 5, FALSE)</f>
        <v>-158.02269999999999</v>
      </c>
    </row>
    <row r="25" spans="1:8">
      <c r="A25">
        <v>3797</v>
      </c>
      <c r="B25" t="s">
        <v>67</v>
      </c>
      <c r="C25" t="s">
        <v>68</v>
      </c>
      <c r="D25" t="s">
        <v>69</v>
      </c>
      <c r="E25">
        <v>124.43014947376901</v>
      </c>
      <c r="F25">
        <v>123745783.65166301</v>
      </c>
      <c r="G25" s="2">
        <f>VLOOKUP(A25, 'HI Golf Courses'!$A:$E, 4, FALSE)</f>
        <v>21.35463</v>
      </c>
      <c r="H25">
        <f>VLOOKUP(A25, 'HI Golf Courses'!$A:$E, 5, FALSE)</f>
        <v>-157.72970000000001</v>
      </c>
    </row>
    <row r="26" spans="1:8">
      <c r="A26">
        <v>3782</v>
      </c>
      <c r="B26" t="s">
        <v>70</v>
      </c>
      <c r="C26" t="s">
        <v>71</v>
      </c>
      <c r="D26" t="s">
        <v>72</v>
      </c>
      <c r="E26">
        <v>124.343245527381</v>
      </c>
      <c r="F26">
        <v>123659357.67698</v>
      </c>
      <c r="G26" s="2">
        <f>VLOOKUP(A26, 'HI Golf Courses'!$A:$E, 4, FALSE)</f>
        <v>21.349989999999998</v>
      </c>
      <c r="H26">
        <f>VLOOKUP(A26, 'HI Golf Courses'!$A:$E, 5, FALSE)</f>
        <v>-157.94280000000001</v>
      </c>
    </row>
    <row r="27" spans="1:8">
      <c r="A27">
        <v>3737</v>
      </c>
      <c r="B27" t="s">
        <v>73</v>
      </c>
      <c r="C27" t="s">
        <v>74</v>
      </c>
      <c r="D27" t="s">
        <v>42</v>
      </c>
      <c r="E27">
        <v>107.371816325151</v>
      </c>
      <c r="F27">
        <v>106781271.335363</v>
      </c>
      <c r="G27" s="2">
        <f>VLOOKUP(A27, 'HI Golf Courses'!$A:$E, 4, FALSE)</f>
        <v>21.339469999999999</v>
      </c>
      <c r="H27">
        <f>VLOOKUP(A27, 'HI Golf Courses'!$A:$E, 5, FALSE)</f>
        <v>-157.84059999999999</v>
      </c>
    </row>
    <row r="28" spans="1:8">
      <c r="A28">
        <v>3764</v>
      </c>
      <c r="B28" t="s">
        <v>75</v>
      </c>
      <c r="C28" t="s">
        <v>76</v>
      </c>
      <c r="D28" t="s">
        <v>77</v>
      </c>
      <c r="E28">
        <v>211.860629468539</v>
      </c>
      <c r="F28">
        <v>106099803.23784401</v>
      </c>
      <c r="G28" s="2">
        <f>VLOOKUP(A28, 'HI Golf Courses'!$A:$E, 4, FALSE)</f>
        <v>20.648520000000001</v>
      </c>
      <c r="H28">
        <f>VLOOKUP(A28, 'HI Golf Courses'!$A:$E, 5, FALSE)</f>
        <v>-156.4385</v>
      </c>
    </row>
    <row r="29" spans="1:8">
      <c r="A29">
        <v>3788</v>
      </c>
      <c r="B29" t="s">
        <v>78</v>
      </c>
      <c r="C29" t="s">
        <v>79</v>
      </c>
      <c r="D29" t="s">
        <v>80</v>
      </c>
      <c r="E29">
        <v>90.963509490044302</v>
      </c>
      <c r="F29">
        <v>90463210.187849104</v>
      </c>
      <c r="G29" s="2">
        <f>VLOOKUP(A29, 'HI Golf Courses'!$A:$E, 4, FALSE)</f>
        <v>21.48864</v>
      </c>
      <c r="H29">
        <f>VLOOKUP(A29, 'HI Golf Courses'!$A:$E, 5, FALSE)</f>
        <v>-158.0395</v>
      </c>
    </row>
    <row r="30" spans="1:8">
      <c r="A30">
        <v>3760</v>
      </c>
      <c r="B30" t="s">
        <v>81</v>
      </c>
      <c r="C30" t="s">
        <v>82</v>
      </c>
      <c r="D30" t="s">
        <v>12</v>
      </c>
      <c r="E30">
        <v>89.827428612060402</v>
      </c>
      <c r="F30">
        <v>89333377.754694104</v>
      </c>
      <c r="G30" s="2">
        <f>VLOOKUP(A30, 'HI Golf Courses'!$A:$E, 4, FALSE)</f>
        <v>21.405909999999999</v>
      </c>
      <c r="H30">
        <f>VLOOKUP(A30, 'HI Golf Courses'!$A:$E, 5, FALSE)</f>
        <v>-157.78989999999999</v>
      </c>
    </row>
    <row r="31" spans="1:8">
      <c r="A31">
        <v>3736</v>
      </c>
      <c r="B31" t="s">
        <v>83</v>
      </c>
      <c r="C31" t="s">
        <v>84</v>
      </c>
      <c r="D31" t="s">
        <v>42</v>
      </c>
      <c r="E31">
        <v>86.008192714950994</v>
      </c>
      <c r="F31">
        <v>85535147.655018702</v>
      </c>
      <c r="G31" s="2">
        <f>VLOOKUP(A31, 'HI Golf Courses'!$A:$E, 4, FALSE)</f>
        <v>21.362629999999999</v>
      </c>
      <c r="H31">
        <f>VLOOKUP(A31, 'HI Golf Courses'!$A:$E, 5, FALSE)</f>
        <v>-157.8974</v>
      </c>
    </row>
    <row r="32" spans="1:8">
      <c r="A32">
        <v>3766</v>
      </c>
      <c r="B32" t="s">
        <v>85</v>
      </c>
      <c r="C32" t="s">
        <v>86</v>
      </c>
      <c r="D32" t="s">
        <v>77</v>
      </c>
      <c r="E32">
        <v>163.92313427938501</v>
      </c>
      <c r="F32">
        <v>82092705.647116005</v>
      </c>
      <c r="G32" s="2">
        <f>VLOOKUP(A32, 'HI Golf Courses'!$A:$E, 4, FALSE)</f>
        <v>20.66591</v>
      </c>
      <c r="H32">
        <f>VLOOKUP(A32, 'HI Golf Courses'!$A:$E, 5, FALSE)</f>
        <v>-156.43639999999999</v>
      </c>
    </row>
    <row r="33" spans="1:8">
      <c r="A33">
        <v>3781</v>
      </c>
      <c r="B33" t="s">
        <v>87</v>
      </c>
      <c r="C33" t="s">
        <v>88</v>
      </c>
      <c r="D33" t="s">
        <v>89</v>
      </c>
      <c r="E33">
        <v>120.429228548772</v>
      </c>
      <c r="F33">
        <v>60310957.657225199</v>
      </c>
      <c r="G33" s="2">
        <f>VLOOKUP(A33, 'HI Golf Courses'!$A:$E, 4, FALSE)</f>
        <v>20.910630000000001</v>
      </c>
      <c r="H33">
        <f>VLOOKUP(A33, 'HI Golf Courses'!$A:$E, 5, FALSE)</f>
        <v>-156.4042</v>
      </c>
    </row>
    <row r="34" spans="1:8">
      <c r="A34">
        <v>3774</v>
      </c>
      <c r="B34" t="s">
        <v>90</v>
      </c>
      <c r="C34" t="s">
        <v>91</v>
      </c>
      <c r="D34" t="s">
        <v>92</v>
      </c>
      <c r="E34">
        <v>116.532058577786</v>
      </c>
      <c r="F34">
        <v>58359254.935755298</v>
      </c>
      <c r="G34" s="2">
        <f>VLOOKUP(A34, 'HI Golf Courses'!$A:$E, 4, FALSE)</f>
        <v>20.74211</v>
      </c>
      <c r="H34">
        <f>VLOOKUP(A34, 'HI Golf Courses'!$A:$E, 5, FALSE)</f>
        <v>-156.905</v>
      </c>
    </row>
    <row r="35" spans="1:8">
      <c r="A35">
        <v>3786</v>
      </c>
      <c r="B35" t="s">
        <v>93</v>
      </c>
      <c r="C35" t="s">
        <v>28</v>
      </c>
      <c r="D35" t="s">
        <v>29</v>
      </c>
      <c r="E35">
        <v>58.339670256585102</v>
      </c>
      <c r="F35">
        <v>58018802.070173897</v>
      </c>
      <c r="G35" s="2">
        <f>VLOOKUP(A35, 'HI Golf Courses'!$A:$E, 4, FALSE)</f>
        <v>21.34854</v>
      </c>
      <c r="H35">
        <f>VLOOKUP(A35, 'HI Golf Courses'!$A:$E, 5, FALSE)</f>
        <v>-157.88570000000001</v>
      </c>
    </row>
    <row r="36" spans="1:8">
      <c r="A36">
        <v>3765</v>
      </c>
      <c r="B36" t="s">
        <v>94</v>
      </c>
      <c r="C36" t="s">
        <v>95</v>
      </c>
      <c r="D36" t="s">
        <v>77</v>
      </c>
      <c r="E36">
        <v>114.249664220442</v>
      </c>
      <c r="F36">
        <v>57216231.841597401</v>
      </c>
      <c r="G36" s="2">
        <f>VLOOKUP(A36, 'HI Golf Courses'!$A:$E, 4, FALSE)</f>
        <v>20.75433</v>
      </c>
      <c r="H36">
        <f>VLOOKUP(A36, 'HI Golf Courses'!$A:$E, 5, FALSE)</f>
        <v>-156.44739999999999</v>
      </c>
    </row>
    <row r="37" spans="1:8">
      <c r="A37">
        <v>3778</v>
      </c>
      <c r="B37" t="s">
        <v>96</v>
      </c>
      <c r="C37" t="s">
        <v>97</v>
      </c>
      <c r="D37" t="s">
        <v>98</v>
      </c>
      <c r="E37">
        <v>113.21381288868101</v>
      </c>
      <c r="F37">
        <v>56697477.4946514</v>
      </c>
      <c r="G37" s="2">
        <f>VLOOKUP(A37, 'HI Golf Courses'!$A:$E, 4, FALSE)</f>
        <v>20.831479999999999</v>
      </c>
      <c r="H37">
        <f>VLOOKUP(A37, 'HI Golf Courses'!$A:$E, 5, FALSE)</f>
        <v>-156.34630000000001</v>
      </c>
    </row>
    <row r="38" spans="1:8">
      <c r="A38">
        <v>3794</v>
      </c>
      <c r="B38" t="s">
        <v>99</v>
      </c>
      <c r="C38" t="s">
        <v>100</v>
      </c>
      <c r="D38" t="s">
        <v>101</v>
      </c>
      <c r="E38">
        <v>108.22309481054</v>
      </c>
      <c r="F38">
        <v>54198125.881118402</v>
      </c>
      <c r="G38" s="2">
        <f>VLOOKUP(A38, 'HI Golf Courses'!$A:$E, 4, FALSE)</f>
        <v>20.931819999999998</v>
      </c>
      <c r="H38">
        <f>VLOOKUP(A38, 'HI Golf Courses'!$A:$E, 5, FALSE)</f>
        <v>-156.5052</v>
      </c>
    </row>
    <row r="39" spans="1:8">
      <c r="A39">
        <v>3802</v>
      </c>
      <c r="B39" t="s">
        <v>102</v>
      </c>
      <c r="C39" t="s">
        <v>103</v>
      </c>
      <c r="D39" t="s">
        <v>104</v>
      </c>
      <c r="E39">
        <v>85.486646474024496</v>
      </c>
      <c r="F39">
        <v>42811712.5541915</v>
      </c>
      <c r="G39" s="2">
        <f>VLOOKUP(A39, 'HI Golf Courses'!$A:$E, 4, FALSE)</f>
        <v>21.151910000000001</v>
      </c>
      <c r="H39">
        <f>VLOOKUP(A39, 'HI Golf Courses'!$A:$E, 5, FALSE)</f>
        <v>-157.03659999999999</v>
      </c>
    </row>
    <row r="40" spans="1:8">
      <c r="A40">
        <v>3800</v>
      </c>
      <c r="B40" t="s">
        <v>105</v>
      </c>
      <c r="C40" t="s">
        <v>106</v>
      </c>
      <c r="D40" t="s">
        <v>45</v>
      </c>
      <c r="E40">
        <v>36.374806378811797</v>
      </c>
      <c r="F40">
        <v>36174744.943728298</v>
      </c>
      <c r="G40" s="2">
        <f>VLOOKUP(A40, 'HI Golf Courses'!$A:$E, 4, FALSE)</f>
        <v>21.403469999999999</v>
      </c>
      <c r="H40">
        <f>VLOOKUP(A40, 'HI Golf Courses'!$A:$E, 5, FALSE)</f>
        <v>-158.0087</v>
      </c>
    </row>
    <row r="41" spans="1:8">
      <c r="A41">
        <v>3743</v>
      </c>
      <c r="B41" t="s">
        <v>107</v>
      </c>
      <c r="C41" t="s">
        <v>108</v>
      </c>
      <c r="D41" t="s">
        <v>109</v>
      </c>
      <c r="E41">
        <v>64.155686476813003</v>
      </c>
      <c r="F41">
        <v>32129167.7875879</v>
      </c>
      <c r="G41" s="2">
        <f>VLOOKUP(A41, 'HI Golf Courses'!$A:$E, 4, FALSE)</f>
        <v>20.862390000000001</v>
      </c>
      <c r="H41">
        <f>VLOOKUP(A41, 'HI Golf Courses'!$A:$E, 5, FALSE)</f>
        <v>-156.47620000000001</v>
      </c>
    </row>
    <row r="42" spans="1:8">
      <c r="A42">
        <v>3773</v>
      </c>
      <c r="B42" t="s">
        <v>110</v>
      </c>
      <c r="C42" t="s">
        <v>111</v>
      </c>
      <c r="D42" t="s">
        <v>112</v>
      </c>
      <c r="E42">
        <v>61.001652675699901</v>
      </c>
      <c r="F42">
        <v>30549627.659990501</v>
      </c>
      <c r="G42" s="2">
        <f>VLOOKUP(A42, 'HI Golf Courses'!$A:$E, 4, FALSE)</f>
        <v>20.831219999999998</v>
      </c>
      <c r="H42">
        <f>VLOOKUP(A42, 'HI Golf Courses'!$A:$E, 5, FALSE)</f>
        <v>-156.91630000000001</v>
      </c>
    </row>
    <row r="43" spans="1:8">
      <c r="A43">
        <v>3775</v>
      </c>
      <c r="B43" t="s">
        <v>113</v>
      </c>
      <c r="C43" t="s">
        <v>114</v>
      </c>
      <c r="D43" t="s">
        <v>92</v>
      </c>
      <c r="E43">
        <v>61.001652675699901</v>
      </c>
      <c r="F43">
        <v>30549627.659990501</v>
      </c>
      <c r="G43" s="2">
        <f>VLOOKUP(A43, 'HI Golf Courses'!$A:$E, 4, FALSE)</f>
        <v>20.835699999999999</v>
      </c>
      <c r="H43">
        <f>VLOOKUP(A43, 'HI Golf Courses'!$A:$E, 5, FALSE)</f>
        <v>-156.91720000000001</v>
      </c>
    </row>
    <row r="44" spans="1:8">
      <c r="A44">
        <v>3749</v>
      </c>
      <c r="B44" t="s">
        <v>115</v>
      </c>
      <c r="C44" t="s">
        <v>116</v>
      </c>
      <c r="D44" t="s">
        <v>117</v>
      </c>
      <c r="E44">
        <v>495.08355477058802</v>
      </c>
      <c r="F44">
        <v>25803754.874643002</v>
      </c>
      <c r="G44" s="2">
        <f>VLOOKUP(A44, 'HI Golf Courses'!$A:$E, 4, FALSE)</f>
        <v>19.743559999999999</v>
      </c>
      <c r="H44">
        <f>VLOOKUP(A44, 'HI Golf Courses'!$A:$E, 5, FALSE)</f>
        <v>-155.9751</v>
      </c>
    </row>
    <row r="45" spans="1:8">
      <c r="A45">
        <v>3776</v>
      </c>
      <c r="B45" t="s">
        <v>118</v>
      </c>
      <c r="C45" t="s">
        <v>119</v>
      </c>
      <c r="D45" t="s">
        <v>120</v>
      </c>
      <c r="E45">
        <v>492.47841811780597</v>
      </c>
      <c r="F45">
        <v>22075837.570548698</v>
      </c>
      <c r="G45" s="2">
        <f>VLOOKUP(A45, 'HI Golf Courses'!$A:$E, 4, FALSE)</f>
        <v>21.96265</v>
      </c>
      <c r="H45">
        <f>VLOOKUP(A45, 'HI Golf Courses'!$A:$E, 5, FALSE)</f>
        <v>-159.3466</v>
      </c>
    </row>
    <row r="46" spans="1:8">
      <c r="A46">
        <v>3795</v>
      </c>
      <c r="B46" t="s">
        <v>121</v>
      </c>
      <c r="C46" t="s">
        <v>122</v>
      </c>
      <c r="D46" t="s">
        <v>101</v>
      </c>
      <c r="E46">
        <v>216.497137149276</v>
      </c>
      <c r="F46">
        <v>18259320.747935399</v>
      </c>
      <c r="G46" s="2">
        <f>VLOOKUP(A46, 'HI Golf Courses'!$A:$E, 4, FALSE)</f>
        <v>20.789650000000002</v>
      </c>
      <c r="H46">
        <f>VLOOKUP(A46, 'HI Golf Courses'!$A:$E, 5, FALSE)</f>
        <v>-156.51499999999999</v>
      </c>
    </row>
    <row r="47" spans="1:8">
      <c r="A47">
        <v>3768</v>
      </c>
      <c r="B47" t="s">
        <v>123</v>
      </c>
      <c r="C47" t="s">
        <v>124</v>
      </c>
      <c r="D47" t="s">
        <v>125</v>
      </c>
      <c r="E47">
        <v>192.109112621419</v>
      </c>
      <c r="F47">
        <v>18001008.070852201</v>
      </c>
      <c r="G47" s="2">
        <f>VLOOKUP(A47, 'HI Golf Courses'!$A:$E, 4, FALSE)</f>
        <v>21.87724</v>
      </c>
      <c r="H47">
        <f>VLOOKUP(A47, 'HI Golf Courses'!$A:$E, 5, FALSE)</f>
        <v>-159.43719999999999</v>
      </c>
    </row>
    <row r="48" spans="1:8">
      <c r="A48">
        <v>3770</v>
      </c>
      <c r="B48" t="s">
        <v>126</v>
      </c>
      <c r="C48" t="s">
        <v>127</v>
      </c>
      <c r="D48" t="s">
        <v>128</v>
      </c>
      <c r="E48">
        <v>226.91752817026301</v>
      </c>
      <c r="F48">
        <v>14175286.044469399</v>
      </c>
      <c r="G48" s="2">
        <f>VLOOKUP(A48, 'HI Golf Courses'!$A:$E, 4, FALSE)</f>
        <v>19.82621</v>
      </c>
      <c r="H48">
        <f>VLOOKUP(A48, 'HI Golf Courses'!$A:$E, 5, FALSE)</f>
        <v>-155.99180000000001</v>
      </c>
    </row>
    <row r="49" spans="1:8">
      <c r="A49">
        <v>3793</v>
      </c>
      <c r="B49" t="s">
        <v>129</v>
      </c>
      <c r="C49" t="s">
        <v>130</v>
      </c>
      <c r="D49" t="s">
        <v>131</v>
      </c>
      <c r="E49">
        <v>285.619032653094</v>
      </c>
      <c r="F49">
        <v>13870814.980434701</v>
      </c>
      <c r="G49" s="2">
        <f>VLOOKUP(A49, 'HI Golf Courses'!$A:$E, 4, FALSE)</f>
        <v>22.061440000000001</v>
      </c>
      <c r="H49">
        <f>VLOOKUP(A49, 'HI Golf Courses'!$A:$E, 5, FALSE)</f>
        <v>-159.32089999999999</v>
      </c>
    </row>
    <row r="50" spans="1:8">
      <c r="A50">
        <v>3780</v>
      </c>
      <c r="B50" t="s">
        <v>132</v>
      </c>
      <c r="C50" t="s">
        <v>133</v>
      </c>
      <c r="D50" t="s">
        <v>134</v>
      </c>
      <c r="E50">
        <v>193.179083605014</v>
      </c>
      <c r="F50">
        <v>12133578.241230899</v>
      </c>
      <c r="G50" s="2">
        <f>VLOOKUP(A50, 'HI Golf Courses'!$A:$E, 4, FALSE)</f>
        <v>19.140070000000001</v>
      </c>
      <c r="H50">
        <f>VLOOKUP(A50, 'HI Golf Courses'!$A:$E, 5, FALSE)</f>
        <v>-155.5164</v>
      </c>
    </row>
    <row r="51" spans="1:8">
      <c r="A51">
        <v>3748</v>
      </c>
      <c r="B51" t="s">
        <v>135</v>
      </c>
      <c r="C51" t="s">
        <v>136</v>
      </c>
      <c r="D51" t="s">
        <v>117</v>
      </c>
      <c r="E51">
        <v>108.686569297011</v>
      </c>
      <c r="F51">
        <v>11578380.2272106</v>
      </c>
      <c r="G51" s="2">
        <f>VLOOKUP(A51, 'HI Golf Courses'!$A:$E, 4, FALSE)</f>
        <v>19.562349999999999</v>
      </c>
      <c r="H51">
        <f>VLOOKUP(A51, 'HI Golf Courses'!$A:$E, 5, FALSE)</f>
        <v>-155.959</v>
      </c>
    </row>
    <row r="52" spans="1:8">
      <c r="A52">
        <v>3752</v>
      </c>
      <c r="B52" t="s">
        <v>137</v>
      </c>
      <c r="C52" t="s">
        <v>138</v>
      </c>
      <c r="D52" t="s">
        <v>117</v>
      </c>
      <c r="E52">
        <v>407.99373263351703</v>
      </c>
      <c r="F52">
        <v>10617628.8980546</v>
      </c>
      <c r="G52" s="2">
        <f>VLOOKUP(A52, 'HI Golf Courses'!$A:$E, 4, FALSE)</f>
        <v>19.701720000000002</v>
      </c>
      <c r="H52">
        <f>VLOOKUP(A52, 'HI Golf Courses'!$A:$E, 5, FALSE)</f>
        <v>-156.03460000000001</v>
      </c>
    </row>
    <row r="53" spans="1:8">
      <c r="A53">
        <v>3783</v>
      </c>
      <c r="B53" t="s">
        <v>139</v>
      </c>
      <c r="C53" t="s">
        <v>140</v>
      </c>
      <c r="D53" t="s">
        <v>141</v>
      </c>
      <c r="E53">
        <v>200.212344171148</v>
      </c>
      <c r="F53">
        <v>10558002.2334204</v>
      </c>
      <c r="G53" s="2">
        <f>VLOOKUP(A53, 'HI Golf Courses'!$A:$E, 4, FALSE)</f>
        <v>22.209679999999999</v>
      </c>
      <c r="H53">
        <f>VLOOKUP(A53, 'HI Golf Courses'!$A:$E, 5, FALSE)</f>
        <v>-159.45269999999999</v>
      </c>
    </row>
    <row r="54" spans="1:8">
      <c r="A54">
        <v>3772</v>
      </c>
      <c r="B54" t="s">
        <v>142</v>
      </c>
      <c r="C54" t="s">
        <v>143</v>
      </c>
      <c r="D54" t="s">
        <v>22</v>
      </c>
      <c r="E54">
        <v>91.416421244569094</v>
      </c>
      <c r="F54">
        <v>9363784.0280812103</v>
      </c>
      <c r="G54" s="2">
        <f>VLOOKUP(A54, 'HI Golf Courses'!$A:$E, 4, FALSE)</f>
        <v>20.998830000000002</v>
      </c>
      <c r="H54">
        <f>VLOOKUP(A54, 'HI Golf Courses'!$A:$E, 5, FALSE)</f>
        <v>-156.6635</v>
      </c>
    </row>
    <row r="55" spans="1:8">
      <c r="A55">
        <v>3750</v>
      </c>
      <c r="B55" t="s">
        <v>144</v>
      </c>
      <c r="C55" t="s">
        <v>145</v>
      </c>
      <c r="D55" t="s">
        <v>39</v>
      </c>
      <c r="E55">
        <v>152.60660220523101</v>
      </c>
      <c r="F55">
        <v>9331893.7248499207</v>
      </c>
      <c r="G55" s="2">
        <f>VLOOKUP(A55, 'HI Golf Courses'!$A:$E, 4, FALSE)</f>
        <v>21.391179999999999</v>
      </c>
      <c r="H55">
        <f>VLOOKUP(A55, 'HI Golf Courses'!$A:$E, 5, FALSE)</f>
        <v>-157.7192</v>
      </c>
    </row>
    <row r="56" spans="1:8">
      <c r="A56">
        <v>3747</v>
      </c>
      <c r="B56" t="s">
        <v>146</v>
      </c>
      <c r="C56" t="s">
        <v>147</v>
      </c>
      <c r="D56" t="s">
        <v>117</v>
      </c>
      <c r="E56">
        <v>249.405415656239</v>
      </c>
      <c r="F56">
        <v>8364060.0194476303</v>
      </c>
      <c r="G56" s="2">
        <f>VLOOKUP(A56, 'HI Golf Courses'!$A:$E, 4, FALSE)</f>
        <v>19.81972</v>
      </c>
      <c r="H56">
        <f>VLOOKUP(A56, 'HI Golf Courses'!$A:$E, 5, FALSE)</f>
        <v>-155.83699999999999</v>
      </c>
    </row>
    <row r="57" spans="1:8">
      <c r="A57">
        <v>3767</v>
      </c>
      <c r="B57" t="s">
        <v>148</v>
      </c>
      <c r="C57" t="s">
        <v>149</v>
      </c>
      <c r="D57" t="s">
        <v>125</v>
      </c>
      <c r="E57">
        <v>192.37410627026199</v>
      </c>
      <c r="F57">
        <v>7232881.6475493303</v>
      </c>
      <c r="G57" s="2">
        <f>VLOOKUP(A57, 'HI Golf Courses'!$A:$E, 4, FALSE)</f>
        <v>21.881609999999998</v>
      </c>
      <c r="H57">
        <f>VLOOKUP(A57, 'HI Golf Courses'!$A:$E, 5, FALSE)</f>
        <v>-159.4573</v>
      </c>
    </row>
    <row r="58" spans="1:8">
      <c r="A58">
        <v>3740</v>
      </c>
      <c r="B58" t="s">
        <v>150</v>
      </c>
      <c r="C58" t="s">
        <v>151</v>
      </c>
      <c r="D58" t="s">
        <v>42</v>
      </c>
      <c r="E58">
        <v>269.35362368286798</v>
      </c>
      <c r="F58">
        <v>7113090.4942171797</v>
      </c>
      <c r="G58" s="2">
        <f>VLOOKUP(A58, 'HI Golf Courses'!$A:$E, 4, FALSE)</f>
        <v>21.297830000000001</v>
      </c>
      <c r="H58">
        <f>VLOOKUP(A58, 'HI Golf Courses'!$A:$E, 5, FALSE)</f>
        <v>-157.6627</v>
      </c>
    </row>
    <row r="59" spans="1:8">
      <c r="A59">
        <v>3756</v>
      </c>
      <c r="B59" t="s">
        <v>152</v>
      </c>
      <c r="C59" t="s">
        <v>153</v>
      </c>
      <c r="D59" t="s">
        <v>154</v>
      </c>
      <c r="E59">
        <v>88.377997020504097</v>
      </c>
      <c r="F59">
        <v>6487828.7612752104</v>
      </c>
      <c r="G59" s="2">
        <f>VLOOKUP(A59, 'HI Golf Courses'!$A:$E, 4, FALSE)</f>
        <v>19.93637</v>
      </c>
      <c r="H59">
        <f>VLOOKUP(A59, 'HI Golf Courses'!$A:$E, 5, FALSE)</f>
        <v>-155.8665</v>
      </c>
    </row>
    <row r="60" spans="1:8">
      <c r="A60">
        <v>3754</v>
      </c>
      <c r="B60" t="s">
        <v>155</v>
      </c>
      <c r="C60" t="s">
        <v>156</v>
      </c>
      <c r="D60" t="s">
        <v>154</v>
      </c>
      <c r="E60">
        <v>89.291493348637303</v>
      </c>
      <c r="F60">
        <v>6140575.9975857902</v>
      </c>
      <c r="G60" s="2">
        <f>VLOOKUP(A60, 'HI Golf Courses'!$A:$E, 4, FALSE)</f>
        <v>19.995100000000001</v>
      </c>
      <c r="H60">
        <f>VLOOKUP(A60, 'HI Golf Courses'!$A:$E, 5, FALSE)</f>
        <v>-155.82259999999999</v>
      </c>
    </row>
    <row r="61" spans="1:8">
      <c r="A61">
        <v>3733</v>
      </c>
      <c r="B61" t="s">
        <v>157</v>
      </c>
      <c r="C61" t="s">
        <v>158</v>
      </c>
      <c r="D61" t="s">
        <v>159</v>
      </c>
      <c r="E61">
        <v>70.621950973107204</v>
      </c>
      <c r="F61">
        <v>5700886.3703530999</v>
      </c>
      <c r="G61" s="2">
        <f>VLOOKUP(A61, 'HI Golf Courses'!$A:$E, 4, FALSE)</f>
        <v>20.04411</v>
      </c>
      <c r="H61">
        <f>VLOOKUP(A61, 'HI Golf Courses'!$A:$E, 5, FALSE)</f>
        <v>-155.5924</v>
      </c>
    </row>
    <row r="62" spans="1:8">
      <c r="A62">
        <v>3791</v>
      </c>
      <c r="B62" t="s">
        <v>160</v>
      </c>
      <c r="C62" t="s">
        <v>161</v>
      </c>
      <c r="D62" t="s">
        <v>162</v>
      </c>
      <c r="E62">
        <v>85.623803260758194</v>
      </c>
      <c r="F62">
        <v>5276310.0045344401</v>
      </c>
      <c r="G62" s="2">
        <f>VLOOKUP(A62, 'HI Golf Courses'!$A:$E, 4, FALSE)</f>
        <v>19.920670000000001</v>
      </c>
      <c r="H62">
        <f>VLOOKUP(A62, 'HI Golf Courses'!$A:$E, 5, FALSE)</f>
        <v>-155.88659999999999</v>
      </c>
    </row>
    <row r="63" spans="1:8">
      <c r="A63">
        <v>3757</v>
      </c>
      <c r="B63" t="s">
        <v>163</v>
      </c>
      <c r="C63" t="s">
        <v>164</v>
      </c>
      <c r="D63" t="s">
        <v>154</v>
      </c>
      <c r="E63">
        <v>70.621950973107204</v>
      </c>
      <c r="F63">
        <v>5151730.07958622</v>
      </c>
      <c r="G63" s="2">
        <f>VLOOKUP(A63, 'HI Golf Courses'!$A:$E, 4, FALSE)</f>
        <v>20.042629999999999</v>
      </c>
      <c r="H63">
        <f>VLOOKUP(A63, 'HI Golf Courses'!$A:$E, 5, FALSE)</f>
        <v>-155.59719999999999</v>
      </c>
    </row>
    <row r="64" spans="1:8">
      <c r="A64">
        <v>3777</v>
      </c>
      <c r="B64" t="s">
        <v>165</v>
      </c>
      <c r="C64" t="s">
        <v>166</v>
      </c>
      <c r="D64" t="s">
        <v>120</v>
      </c>
      <c r="E64">
        <v>101.68101702161999</v>
      </c>
      <c r="F64">
        <v>5010230.4327233201</v>
      </c>
      <c r="G64" s="2">
        <f>VLOOKUP(A64, 'HI Golf Courses'!$A:$E, 4, FALSE)</f>
        <v>21.963989999999999</v>
      </c>
      <c r="H64">
        <f>VLOOKUP(A64, 'HI Golf Courses'!$A:$E, 5, FALSE)</f>
        <v>-159.3768</v>
      </c>
    </row>
    <row r="65" spans="1:8">
      <c r="A65">
        <v>3753</v>
      </c>
      <c r="B65" t="s">
        <v>167</v>
      </c>
      <c r="C65" t="s">
        <v>168</v>
      </c>
      <c r="D65" t="s">
        <v>169</v>
      </c>
      <c r="E65">
        <v>150.52975648902401</v>
      </c>
      <c r="F65">
        <v>4364158.70012978</v>
      </c>
      <c r="G65" s="2">
        <f>VLOOKUP(A65, 'HI Golf Courses'!$A:$E, 4, FALSE)</f>
        <v>21.910889999999998</v>
      </c>
      <c r="H65">
        <f>VLOOKUP(A65, 'HI Golf Courses'!$A:$E, 5, FALSE)</f>
        <v>-159.52459999999999</v>
      </c>
    </row>
    <row r="66" spans="1:8">
      <c r="A66">
        <v>3787</v>
      </c>
      <c r="B66" t="s">
        <v>170</v>
      </c>
      <c r="C66" t="s">
        <v>171</v>
      </c>
      <c r="D66" t="s">
        <v>172</v>
      </c>
      <c r="E66">
        <v>160.31246385930399</v>
      </c>
      <c r="F66">
        <v>3473650.4669033899</v>
      </c>
      <c r="G66" s="2">
        <f>VLOOKUP(A66, 'HI Golf Courses'!$A:$E, 4, FALSE)</f>
        <v>19.43591</v>
      </c>
      <c r="H66">
        <f>VLOOKUP(A66, 'HI Golf Courses'!$A:$E, 5, FALSE)</f>
        <v>-155.2741</v>
      </c>
    </row>
    <row r="67" spans="1:8">
      <c r="A67">
        <v>3732</v>
      </c>
      <c r="B67" t="s">
        <v>173</v>
      </c>
      <c r="C67" t="s">
        <v>174</v>
      </c>
      <c r="D67" t="s">
        <v>175</v>
      </c>
      <c r="E67">
        <v>152.617103991048</v>
      </c>
      <c r="F67">
        <v>3403666.6532083601</v>
      </c>
      <c r="G67" s="2">
        <f>VLOOKUP(A67, 'HI Golf Courses'!$A:$E, 4, FALSE)</f>
        <v>19.674040000000002</v>
      </c>
      <c r="H67">
        <f>VLOOKUP(A67, 'HI Golf Courses'!$A:$E, 5, FALSE)</f>
        <v>-155.0771</v>
      </c>
    </row>
    <row r="68" spans="1:8">
      <c r="A68">
        <v>3769</v>
      </c>
      <c r="B68" t="s">
        <v>126</v>
      </c>
      <c r="C68" t="s">
        <v>176</v>
      </c>
      <c r="D68" t="s">
        <v>128</v>
      </c>
      <c r="E68">
        <v>198.35500511639501</v>
      </c>
      <c r="F68">
        <v>2972070.11499342</v>
      </c>
      <c r="G68" s="2">
        <f>VLOOKUP(A68, 'HI Golf Courses'!$A:$E, 4, FALSE)</f>
        <v>19.680679999999999</v>
      </c>
      <c r="H68">
        <f>VLOOKUP(A68, 'HI Golf Courses'!$A:$E, 5, FALSE)</f>
        <v>-155.97049999999999</v>
      </c>
    </row>
    <row r="69" spans="1:8">
      <c r="A69">
        <v>3784</v>
      </c>
      <c r="B69" t="s">
        <v>177</v>
      </c>
      <c r="C69" t="s">
        <v>178</v>
      </c>
      <c r="D69" t="s">
        <v>141</v>
      </c>
      <c r="E69">
        <v>135.78801671507901</v>
      </c>
      <c r="F69">
        <v>2872165.2001566798</v>
      </c>
      <c r="G69" s="2">
        <f>VLOOKUP(A69, 'HI Golf Courses'!$A:$E, 4, FALSE)</f>
        <v>22.220120000000001</v>
      </c>
      <c r="H69">
        <f>VLOOKUP(A69, 'HI Golf Courses'!$A:$E, 5, FALSE)</f>
        <v>-159.4829</v>
      </c>
    </row>
    <row r="70" spans="1:8">
      <c r="A70">
        <v>3746</v>
      </c>
      <c r="B70" t="s">
        <v>179</v>
      </c>
      <c r="C70" t="s">
        <v>180</v>
      </c>
      <c r="D70" t="s">
        <v>117</v>
      </c>
      <c r="E70">
        <v>113.74908186033799</v>
      </c>
      <c r="F70">
        <v>2543776.6563011999</v>
      </c>
      <c r="G70" s="2">
        <f>VLOOKUP(A70, 'HI Golf Courses'!$A:$E, 4, FALSE)</f>
        <v>19.69049</v>
      </c>
      <c r="H70">
        <f>VLOOKUP(A70, 'HI Golf Courses'!$A:$E, 5, FALSE)</f>
        <v>-155.9803</v>
      </c>
    </row>
    <row r="71" spans="1:8">
      <c r="A71">
        <v>3744</v>
      </c>
      <c r="B71" t="s">
        <v>181</v>
      </c>
      <c r="C71" t="s">
        <v>182</v>
      </c>
      <c r="D71" t="s">
        <v>117</v>
      </c>
      <c r="E71">
        <v>56.640135345170201</v>
      </c>
      <c r="F71">
        <v>2080052.33041603</v>
      </c>
      <c r="G71" s="2">
        <f>VLOOKUP(A71, 'HI Golf Courses'!$A:$E, 4, FALSE)</f>
        <v>19.571480000000001</v>
      </c>
      <c r="H71">
        <f>VLOOKUP(A71, 'HI Golf Courses'!$A:$E, 5, FALSE)</f>
        <v>-155.9633</v>
      </c>
    </row>
    <row r="72" spans="1:8">
      <c r="A72">
        <v>3792</v>
      </c>
      <c r="B72" t="s">
        <v>183</v>
      </c>
      <c r="C72" t="s">
        <v>184</v>
      </c>
      <c r="D72" t="s">
        <v>162</v>
      </c>
      <c r="E72">
        <v>163.69195664009999</v>
      </c>
      <c r="F72">
        <v>1941386.6057515801</v>
      </c>
      <c r="G72" s="2">
        <f>VLOOKUP(A72, 'HI Golf Courses'!$A:$E, 4, FALSE)</f>
        <v>19.93074</v>
      </c>
      <c r="H72">
        <f>VLOOKUP(A72, 'HI Golf Courses'!$A:$E, 5, FALSE)</f>
        <v>-155.79320000000001</v>
      </c>
    </row>
    <row r="73" spans="1:8">
      <c r="A73">
        <v>3745</v>
      </c>
      <c r="B73" t="s">
        <v>185</v>
      </c>
      <c r="C73" t="s">
        <v>186</v>
      </c>
      <c r="D73" t="s">
        <v>117</v>
      </c>
      <c r="E73">
        <v>137.30620646353199</v>
      </c>
      <c r="F73">
        <v>813840.20496663998</v>
      </c>
      <c r="G73" s="2">
        <f>VLOOKUP(A73, 'HI Golf Courses'!$A:$E, 4, FALSE)</f>
        <v>19.643910000000002</v>
      </c>
      <c r="H73">
        <f>VLOOKUP(A73, 'HI Golf Courses'!$A:$E, 5, FALSE)</f>
        <v>-155.99379999999999</v>
      </c>
    </row>
    <row r="74" spans="1:8">
      <c r="A74">
        <v>3755</v>
      </c>
      <c r="B74" t="s">
        <v>187</v>
      </c>
      <c r="C74" t="s">
        <v>188</v>
      </c>
      <c r="D74" t="s">
        <v>154</v>
      </c>
      <c r="E74">
        <v>52.005695157332198</v>
      </c>
      <c r="F74">
        <v>634157.44674850896</v>
      </c>
      <c r="G74" s="2">
        <f>VLOOKUP(A74, 'HI Golf Courses'!$A:$E, 4, FALSE)</f>
        <v>20.00787</v>
      </c>
      <c r="H74">
        <f>VLOOKUP(A74, 'HI Golf Courses'!$A:$E, 5, FALSE)</f>
        <v>-155.82509999999999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70A6-5678-4058-8C4B-CBDD2362D909}">
  <dimension ref="A1:G74"/>
  <sheetViews>
    <sheetView topLeftCell="B2" workbookViewId="0">
      <selection activeCell="E1" sqref="E1"/>
    </sheetView>
  </sheetViews>
  <sheetFormatPr defaultRowHeight="15"/>
  <cols>
    <col min="1" max="1" width="9.5703125" bestFit="1" customWidth="1"/>
    <col min="2" max="2" width="5.85546875" bestFit="1" customWidth="1"/>
    <col min="3" max="3" width="12.85546875" bestFit="1" customWidth="1"/>
    <col min="4" max="4" width="9" bestFit="1" customWidth="1"/>
    <col min="5" max="5" width="9.7109375" bestFit="1" customWidth="1"/>
    <col min="6" max="6" width="21" bestFit="1" customWidth="1"/>
    <col min="7" max="7" width="4.42578125" bestFit="1" customWidth="1"/>
  </cols>
  <sheetData>
    <row r="1" spans="1:7">
      <c r="A1" t="s">
        <v>0</v>
      </c>
      <c r="B1" t="s">
        <v>192</v>
      </c>
      <c r="C1" t="s">
        <v>4</v>
      </c>
      <c r="D1" t="s">
        <v>191</v>
      </c>
      <c r="E1" t="s">
        <v>190</v>
      </c>
      <c r="F1" t="s">
        <v>5</v>
      </c>
      <c r="G1" t="s">
        <v>189</v>
      </c>
    </row>
    <row r="2" spans="1:7">
      <c r="A2">
        <v>3742</v>
      </c>
      <c r="B2">
        <v>36</v>
      </c>
      <c r="C2">
        <v>498.16399999999999</v>
      </c>
      <c r="D2">
        <v>21.703410000000002</v>
      </c>
      <c r="E2">
        <v>-157.99770000000001</v>
      </c>
      <c r="F2" s="1">
        <v>495424127.43000001</v>
      </c>
    </row>
    <row r="3" spans="1:7">
      <c r="A3">
        <v>3782</v>
      </c>
      <c r="B3">
        <v>18</v>
      </c>
      <c r="C3">
        <v>301.69499999999999</v>
      </c>
      <c r="D3">
        <v>21.349989999999998</v>
      </c>
      <c r="E3">
        <v>-157.94280000000001</v>
      </c>
      <c r="F3" s="1">
        <v>300035356.55000001</v>
      </c>
    </row>
    <row r="4" spans="1:7">
      <c r="A4">
        <v>3727</v>
      </c>
      <c r="B4">
        <v>18</v>
      </c>
      <c r="C4">
        <v>272.84800000000001</v>
      </c>
      <c r="D4">
        <v>21.315709999999999</v>
      </c>
      <c r="E4">
        <v>-157.99250000000001</v>
      </c>
      <c r="F4" s="1">
        <v>271347389.56</v>
      </c>
    </row>
    <row r="5" spans="1:7">
      <c r="A5">
        <v>3729</v>
      </c>
      <c r="B5">
        <v>54</v>
      </c>
      <c r="C5">
        <v>271.27699999999999</v>
      </c>
      <c r="D5">
        <v>21.330739999999999</v>
      </c>
      <c r="E5">
        <v>-158.0213</v>
      </c>
      <c r="F5" s="1">
        <v>269784652.02999997</v>
      </c>
    </row>
    <row r="6" spans="1:7">
      <c r="A6">
        <v>3761</v>
      </c>
      <c r="B6">
        <v>18</v>
      </c>
      <c r="C6">
        <v>235.63399999999999</v>
      </c>
      <c r="D6">
        <v>21.378240000000002</v>
      </c>
      <c r="E6">
        <v>-157.79169999999999</v>
      </c>
      <c r="F6" s="1">
        <v>234337695.13</v>
      </c>
    </row>
    <row r="7" spans="1:7">
      <c r="A7">
        <v>3725</v>
      </c>
      <c r="B7">
        <v>18</v>
      </c>
      <c r="C7">
        <v>232.392</v>
      </c>
      <c r="D7">
        <v>21.343</v>
      </c>
      <c r="E7">
        <v>-158.03989999999999</v>
      </c>
      <c r="F7" s="1">
        <v>231113866.77000001</v>
      </c>
    </row>
    <row r="8" spans="1:7">
      <c r="A8">
        <v>3724</v>
      </c>
      <c r="B8">
        <v>18</v>
      </c>
      <c r="C8">
        <v>224.739</v>
      </c>
      <c r="D8">
        <v>21.39331</v>
      </c>
      <c r="E8">
        <v>-157.93610000000001</v>
      </c>
      <c r="F8" s="1">
        <v>223503352.77000001</v>
      </c>
    </row>
    <row r="9" spans="1:7">
      <c r="A9">
        <v>3731</v>
      </c>
      <c r="B9">
        <v>18</v>
      </c>
      <c r="C9">
        <v>223.67400000000001</v>
      </c>
      <c r="D9">
        <v>21.33466</v>
      </c>
      <c r="E9">
        <v>-157.952</v>
      </c>
      <c r="F9" s="1">
        <v>222443608.84</v>
      </c>
    </row>
    <row r="10" spans="1:7">
      <c r="A10">
        <v>3771</v>
      </c>
      <c r="B10">
        <v>36</v>
      </c>
      <c r="C10">
        <v>437.00400000000002</v>
      </c>
      <c r="D10">
        <v>20.917570000000001</v>
      </c>
      <c r="E10">
        <v>-156.6909</v>
      </c>
      <c r="F10" s="1">
        <v>218851763.41999999</v>
      </c>
    </row>
    <row r="11" spans="1:7">
      <c r="A11">
        <v>3730</v>
      </c>
      <c r="B11">
        <v>18</v>
      </c>
      <c r="C11">
        <v>197.334</v>
      </c>
      <c r="D11">
        <v>21.315180000000002</v>
      </c>
      <c r="E11">
        <v>-157.9924</v>
      </c>
      <c r="F11" s="1">
        <v>196248424.62</v>
      </c>
    </row>
    <row r="12" spans="1:7">
      <c r="A12">
        <v>3728</v>
      </c>
      <c r="B12">
        <v>18</v>
      </c>
      <c r="C12">
        <v>195.55799999999999</v>
      </c>
      <c r="D12">
        <v>21.330200000000001</v>
      </c>
      <c r="E12">
        <v>-158.03200000000001</v>
      </c>
      <c r="F12" s="1">
        <v>194482173.47999999</v>
      </c>
    </row>
    <row r="13" spans="1:7">
      <c r="A13">
        <v>3788</v>
      </c>
      <c r="B13">
        <v>18</v>
      </c>
      <c r="C13">
        <v>192.631</v>
      </c>
      <c r="D13">
        <v>21.48864</v>
      </c>
      <c r="E13">
        <v>-158.0395</v>
      </c>
      <c r="F13" s="1">
        <v>191571669.05000001</v>
      </c>
    </row>
    <row r="14" spans="1:7">
      <c r="A14">
        <v>3762</v>
      </c>
      <c r="B14">
        <v>18</v>
      </c>
      <c r="C14">
        <v>190.995</v>
      </c>
      <c r="D14">
        <v>21.349070000000001</v>
      </c>
      <c r="E14">
        <v>-158.065</v>
      </c>
      <c r="F14" s="1">
        <v>189944145.94999999</v>
      </c>
    </row>
    <row r="15" spans="1:7">
      <c r="A15">
        <v>3758</v>
      </c>
      <c r="B15">
        <v>18</v>
      </c>
      <c r="C15">
        <v>190.072</v>
      </c>
      <c r="D15">
        <v>21.44604</v>
      </c>
      <c r="E15">
        <v>-157.76159999999999</v>
      </c>
      <c r="F15" s="1">
        <v>189026930.27000001</v>
      </c>
    </row>
    <row r="16" spans="1:7">
      <c r="A16">
        <v>3763</v>
      </c>
      <c r="B16">
        <v>18</v>
      </c>
      <c r="C16">
        <v>187.768</v>
      </c>
      <c r="D16">
        <v>21.338719999999999</v>
      </c>
      <c r="E16">
        <v>-158.12100000000001</v>
      </c>
      <c r="F16" s="1">
        <v>186735078.55000001</v>
      </c>
    </row>
    <row r="17" spans="1:6">
      <c r="A17">
        <v>3738</v>
      </c>
      <c r="B17">
        <v>18</v>
      </c>
      <c r="C17">
        <v>165.39500000000001</v>
      </c>
      <c r="D17">
        <v>21.27094</v>
      </c>
      <c r="E17">
        <v>-157.77699999999999</v>
      </c>
      <c r="F17" s="1">
        <v>164485759.05000001</v>
      </c>
    </row>
    <row r="18" spans="1:6">
      <c r="A18">
        <v>3799</v>
      </c>
      <c r="B18">
        <v>18</v>
      </c>
      <c r="C18">
        <v>154.04900000000001</v>
      </c>
      <c r="D18">
        <v>21.40624</v>
      </c>
      <c r="E18">
        <v>-158.02539999999999</v>
      </c>
      <c r="F18" s="1">
        <v>153202128.87</v>
      </c>
    </row>
    <row r="19" spans="1:6">
      <c r="A19">
        <v>3739</v>
      </c>
      <c r="B19">
        <v>18</v>
      </c>
      <c r="C19">
        <v>152.69499999999999</v>
      </c>
      <c r="D19">
        <v>21.34393</v>
      </c>
      <c r="E19">
        <v>-157.92779999999999</v>
      </c>
      <c r="F19" s="1">
        <v>151854692.03999999</v>
      </c>
    </row>
    <row r="20" spans="1:6">
      <c r="A20">
        <v>3726</v>
      </c>
      <c r="B20">
        <v>18</v>
      </c>
      <c r="C20">
        <v>150.226</v>
      </c>
      <c r="D20">
        <v>21.368870000000001</v>
      </c>
      <c r="E20">
        <v>-158.02459999999999</v>
      </c>
      <c r="F20" s="1">
        <v>149399998.63999999</v>
      </c>
    </row>
    <row r="21" spans="1:6">
      <c r="A21">
        <v>3734</v>
      </c>
      <c r="B21">
        <v>18</v>
      </c>
      <c r="C21">
        <v>148.40100000000001</v>
      </c>
      <c r="D21">
        <v>21.274180000000001</v>
      </c>
      <c r="E21">
        <v>-157.81630000000001</v>
      </c>
      <c r="F21" s="1">
        <v>147584634.59999999</v>
      </c>
    </row>
    <row r="22" spans="1:6">
      <c r="A22">
        <v>3798</v>
      </c>
      <c r="B22">
        <v>18</v>
      </c>
      <c r="C22">
        <v>133.14699999999999</v>
      </c>
      <c r="D22">
        <v>21.396540000000002</v>
      </c>
      <c r="E22">
        <v>-157.9949</v>
      </c>
      <c r="F22" s="1">
        <v>132414570.56</v>
      </c>
    </row>
    <row r="23" spans="1:6">
      <c r="A23">
        <v>3735</v>
      </c>
      <c r="B23">
        <v>18</v>
      </c>
      <c r="C23">
        <v>133.142</v>
      </c>
      <c r="D23">
        <v>21.354869999999998</v>
      </c>
      <c r="E23">
        <v>-157.90360000000001</v>
      </c>
      <c r="F23" s="1">
        <v>132409237.5</v>
      </c>
    </row>
    <row r="24" spans="1:6">
      <c r="A24">
        <v>3789</v>
      </c>
      <c r="B24">
        <v>18</v>
      </c>
      <c r="C24">
        <v>132.15600000000001</v>
      </c>
      <c r="D24">
        <v>21.472190000000001</v>
      </c>
      <c r="E24">
        <v>-158.19919999999999</v>
      </c>
      <c r="F24" s="1">
        <v>131429171.44</v>
      </c>
    </row>
    <row r="25" spans="1:6">
      <c r="A25">
        <v>3779</v>
      </c>
      <c r="B25">
        <v>18</v>
      </c>
      <c r="C25">
        <v>126.923</v>
      </c>
      <c r="D25">
        <v>21.45412</v>
      </c>
      <c r="E25">
        <v>-158.02269999999999</v>
      </c>
      <c r="F25" s="1">
        <v>126224910.26000001</v>
      </c>
    </row>
    <row r="26" spans="1:6">
      <c r="A26">
        <v>3797</v>
      </c>
      <c r="B26">
        <v>18</v>
      </c>
      <c r="C26">
        <v>124.43</v>
      </c>
      <c r="D26">
        <v>21.35463</v>
      </c>
      <c r="E26">
        <v>-157.72970000000001</v>
      </c>
      <c r="F26" s="1">
        <v>123745783.65000001</v>
      </c>
    </row>
    <row r="27" spans="1:6">
      <c r="A27">
        <v>3751</v>
      </c>
      <c r="B27">
        <v>18</v>
      </c>
      <c r="C27">
        <v>120.956</v>
      </c>
      <c r="D27">
        <v>21.376059999999999</v>
      </c>
      <c r="E27">
        <v>-157.76349999999999</v>
      </c>
      <c r="F27" s="1">
        <v>120291102.29000001</v>
      </c>
    </row>
    <row r="28" spans="1:6">
      <c r="A28">
        <v>3737</v>
      </c>
      <c r="B28">
        <v>18</v>
      </c>
      <c r="C28">
        <v>107.372</v>
      </c>
      <c r="D28">
        <v>21.339469999999999</v>
      </c>
      <c r="E28">
        <v>-157.84059999999999</v>
      </c>
      <c r="F28" s="1">
        <v>106781271.34</v>
      </c>
    </row>
    <row r="29" spans="1:6">
      <c r="A29">
        <v>3764</v>
      </c>
      <c r="B29">
        <v>36</v>
      </c>
      <c r="C29">
        <v>211.86099999999999</v>
      </c>
      <c r="D29">
        <v>20.648520000000001</v>
      </c>
      <c r="E29">
        <v>-156.4385</v>
      </c>
      <c r="F29" s="1">
        <v>106099803.23999999</v>
      </c>
    </row>
    <row r="30" spans="1:6">
      <c r="A30">
        <v>3774</v>
      </c>
      <c r="B30">
        <v>18</v>
      </c>
      <c r="C30">
        <v>209.774</v>
      </c>
      <c r="D30">
        <v>20.74211</v>
      </c>
      <c r="E30">
        <v>-156.905</v>
      </c>
      <c r="F30" s="1">
        <v>105055049.34999999</v>
      </c>
    </row>
    <row r="31" spans="1:6">
      <c r="A31">
        <v>3760</v>
      </c>
      <c r="B31">
        <v>18</v>
      </c>
      <c r="C31">
        <v>89.826999999999998</v>
      </c>
      <c r="D31">
        <v>21.405909999999999</v>
      </c>
      <c r="E31">
        <v>-157.78989999999999</v>
      </c>
      <c r="F31" s="1">
        <v>89333377.75</v>
      </c>
    </row>
    <row r="32" spans="1:6">
      <c r="A32">
        <v>3736</v>
      </c>
      <c r="B32">
        <v>9</v>
      </c>
      <c r="C32">
        <v>86.007999999999996</v>
      </c>
      <c r="D32">
        <v>21.362629999999999</v>
      </c>
      <c r="E32">
        <v>-157.8974</v>
      </c>
      <c r="F32" s="1">
        <v>85535147.659999996</v>
      </c>
    </row>
    <row r="33" spans="1:6">
      <c r="A33">
        <v>3766</v>
      </c>
      <c r="B33">
        <v>72</v>
      </c>
      <c r="C33">
        <v>163.923</v>
      </c>
      <c r="D33">
        <v>20.66591</v>
      </c>
      <c r="E33">
        <v>-156.43639999999999</v>
      </c>
      <c r="F33" s="1">
        <v>82092705.650000006</v>
      </c>
    </row>
    <row r="34" spans="1:6">
      <c r="A34">
        <v>3802</v>
      </c>
      <c r="B34">
        <v>9</v>
      </c>
      <c r="C34">
        <v>124.889</v>
      </c>
      <c r="D34">
        <v>21.151910000000001</v>
      </c>
      <c r="E34">
        <v>-157.03659999999999</v>
      </c>
      <c r="F34" s="1">
        <v>62544358.259999998</v>
      </c>
    </row>
    <row r="35" spans="1:6">
      <c r="A35">
        <v>3781</v>
      </c>
      <c r="B35">
        <v>9</v>
      </c>
      <c r="C35">
        <v>120.429</v>
      </c>
      <c r="D35">
        <v>20.910630000000001</v>
      </c>
      <c r="E35">
        <v>-156.4042</v>
      </c>
      <c r="F35" s="1">
        <v>60310957.659999996</v>
      </c>
    </row>
    <row r="36" spans="1:6">
      <c r="A36">
        <v>3749</v>
      </c>
      <c r="B36">
        <v>18</v>
      </c>
      <c r="C36">
        <v>495.084</v>
      </c>
      <c r="D36">
        <v>19.743559999999999</v>
      </c>
      <c r="E36">
        <v>-155.9751</v>
      </c>
      <c r="F36" s="1">
        <v>59736781.719999999</v>
      </c>
    </row>
    <row r="37" spans="1:6">
      <c r="A37">
        <v>3786</v>
      </c>
      <c r="B37">
        <v>9</v>
      </c>
      <c r="C37">
        <v>58.34</v>
      </c>
      <c r="D37">
        <v>21.34854</v>
      </c>
      <c r="E37">
        <v>-157.88570000000001</v>
      </c>
      <c r="F37" s="1">
        <v>58018802.07</v>
      </c>
    </row>
    <row r="38" spans="1:6">
      <c r="A38">
        <v>3765</v>
      </c>
      <c r="B38">
        <v>18</v>
      </c>
      <c r="C38">
        <v>114.25</v>
      </c>
      <c r="D38">
        <v>20.75433</v>
      </c>
      <c r="E38">
        <v>-156.44739999999999</v>
      </c>
      <c r="F38" s="1">
        <v>57216231.840000004</v>
      </c>
    </row>
    <row r="39" spans="1:6">
      <c r="A39">
        <v>3778</v>
      </c>
      <c r="B39">
        <v>18</v>
      </c>
      <c r="C39">
        <v>113.214</v>
      </c>
      <c r="D39">
        <v>20.831479999999999</v>
      </c>
      <c r="E39">
        <v>-156.34630000000001</v>
      </c>
      <c r="F39" s="1">
        <v>56697477.490000002</v>
      </c>
    </row>
    <row r="40" spans="1:6">
      <c r="A40">
        <v>3794</v>
      </c>
      <c r="B40">
        <v>18</v>
      </c>
      <c r="C40">
        <v>108.223</v>
      </c>
      <c r="D40">
        <v>20.931819999999998</v>
      </c>
      <c r="E40">
        <v>-156.5052</v>
      </c>
      <c r="F40" s="1">
        <v>54198125.880000003</v>
      </c>
    </row>
    <row r="41" spans="1:6">
      <c r="A41">
        <v>3800</v>
      </c>
      <c r="B41">
        <v>18</v>
      </c>
      <c r="C41">
        <v>36.375</v>
      </c>
      <c r="D41">
        <v>21.403469999999999</v>
      </c>
      <c r="E41">
        <v>-158.0087</v>
      </c>
      <c r="F41" s="1">
        <v>36174744.939999998</v>
      </c>
    </row>
    <row r="42" spans="1:6">
      <c r="A42">
        <v>3747</v>
      </c>
      <c r="B42">
        <v>18</v>
      </c>
      <c r="C42">
        <v>249.405</v>
      </c>
      <c r="D42">
        <v>19.81972</v>
      </c>
      <c r="E42">
        <v>-155.83699999999999</v>
      </c>
      <c r="F42" s="1">
        <v>34305216.109999999</v>
      </c>
    </row>
    <row r="43" spans="1:6">
      <c r="A43">
        <v>3743</v>
      </c>
      <c r="B43">
        <v>18</v>
      </c>
      <c r="C43">
        <v>64.156000000000006</v>
      </c>
      <c r="D43">
        <v>20.862390000000001</v>
      </c>
      <c r="E43">
        <v>-156.47620000000001</v>
      </c>
      <c r="F43" s="1">
        <v>32129167.789999999</v>
      </c>
    </row>
    <row r="44" spans="1:6">
      <c r="A44">
        <v>3746</v>
      </c>
      <c r="B44">
        <v>18</v>
      </c>
      <c r="C44">
        <v>219.864</v>
      </c>
      <c r="D44">
        <v>19.69049</v>
      </c>
      <c r="E44">
        <v>-155.9803</v>
      </c>
      <c r="F44" s="1">
        <v>31398658.66</v>
      </c>
    </row>
    <row r="45" spans="1:6">
      <c r="A45">
        <v>3773</v>
      </c>
      <c r="B45">
        <v>9</v>
      </c>
      <c r="C45">
        <v>61.002000000000002</v>
      </c>
      <c r="D45">
        <v>20.831219999999998</v>
      </c>
      <c r="E45">
        <v>-156.91630000000001</v>
      </c>
      <c r="F45" s="1">
        <v>30549627.66</v>
      </c>
    </row>
    <row r="46" spans="1:6">
      <c r="A46">
        <v>3775</v>
      </c>
      <c r="B46">
        <v>18</v>
      </c>
      <c r="C46">
        <v>61.002000000000002</v>
      </c>
      <c r="D46">
        <v>20.835699999999999</v>
      </c>
      <c r="E46">
        <v>-156.91720000000001</v>
      </c>
      <c r="F46" s="1">
        <v>30549627.66</v>
      </c>
    </row>
    <row r="47" spans="1:6">
      <c r="A47">
        <v>3769</v>
      </c>
      <c r="B47">
        <v>36</v>
      </c>
      <c r="C47">
        <v>188.852</v>
      </c>
      <c r="D47">
        <v>19.680679999999999</v>
      </c>
      <c r="E47">
        <v>-155.97049999999999</v>
      </c>
      <c r="F47" s="1">
        <v>27682090.640000001</v>
      </c>
    </row>
    <row r="48" spans="1:6">
      <c r="A48">
        <v>3783</v>
      </c>
      <c r="B48">
        <v>18</v>
      </c>
      <c r="C48">
        <v>184.69499999999999</v>
      </c>
      <c r="D48">
        <v>22.209679999999999</v>
      </c>
      <c r="E48">
        <v>-159.45269999999999</v>
      </c>
      <c r="F48" s="1">
        <v>22815525.07</v>
      </c>
    </row>
    <row r="49" spans="1:6">
      <c r="A49">
        <v>3792</v>
      </c>
      <c r="B49">
        <v>18</v>
      </c>
      <c r="C49">
        <v>163.69200000000001</v>
      </c>
      <c r="D49">
        <v>19.93074</v>
      </c>
      <c r="E49">
        <v>-155.79320000000001</v>
      </c>
      <c r="F49" s="1">
        <v>22189099.489999998</v>
      </c>
    </row>
    <row r="50" spans="1:6">
      <c r="A50">
        <v>3780</v>
      </c>
      <c r="B50">
        <v>18</v>
      </c>
      <c r="C50">
        <v>193.179</v>
      </c>
      <c r="D50">
        <v>19.140070000000001</v>
      </c>
      <c r="E50">
        <v>-155.5164</v>
      </c>
      <c r="F50" s="1">
        <v>15925297.289999999</v>
      </c>
    </row>
    <row r="51" spans="1:6">
      <c r="A51">
        <v>3767</v>
      </c>
      <c r="B51">
        <v>18</v>
      </c>
      <c r="C51">
        <v>192.374</v>
      </c>
      <c r="D51">
        <v>21.881609999999998</v>
      </c>
      <c r="E51">
        <v>-159.4573</v>
      </c>
      <c r="F51" s="1">
        <v>14383427.18</v>
      </c>
    </row>
    <row r="52" spans="1:6">
      <c r="A52">
        <v>3768</v>
      </c>
      <c r="B52">
        <v>18</v>
      </c>
      <c r="C52">
        <v>192.10900000000001</v>
      </c>
      <c r="D52">
        <v>21.87724</v>
      </c>
      <c r="E52">
        <v>-159.43719999999999</v>
      </c>
      <c r="F52" s="1">
        <v>13502965.310000001</v>
      </c>
    </row>
    <row r="53" spans="1:6">
      <c r="A53">
        <v>3772</v>
      </c>
      <c r="B53">
        <v>36</v>
      </c>
      <c r="C53">
        <v>91.415999999999997</v>
      </c>
      <c r="D53">
        <v>20.998830000000002</v>
      </c>
      <c r="E53">
        <v>-156.6635</v>
      </c>
      <c r="F53" s="1">
        <v>11883220.6</v>
      </c>
    </row>
    <row r="54" spans="1:6">
      <c r="A54">
        <v>3776</v>
      </c>
      <c r="B54">
        <v>18</v>
      </c>
      <c r="C54">
        <v>492.47800000000001</v>
      </c>
      <c r="D54">
        <v>21.96265</v>
      </c>
      <c r="E54">
        <v>-159.3466</v>
      </c>
      <c r="F54" s="1">
        <v>11075839.619999999</v>
      </c>
    </row>
    <row r="55" spans="1:6">
      <c r="A55">
        <v>3795</v>
      </c>
      <c r="B55">
        <v>18</v>
      </c>
      <c r="C55">
        <v>189.51400000000001</v>
      </c>
      <c r="D55">
        <v>20.789650000000002</v>
      </c>
      <c r="E55">
        <v>-156.51499999999999</v>
      </c>
      <c r="F55" s="1">
        <v>8490482.9299999997</v>
      </c>
    </row>
    <row r="56" spans="1:6">
      <c r="A56">
        <v>3753</v>
      </c>
      <c r="B56">
        <v>9</v>
      </c>
      <c r="C56">
        <v>150.53</v>
      </c>
      <c r="D56">
        <v>21.910889999999998</v>
      </c>
      <c r="E56">
        <v>-159.52459999999999</v>
      </c>
      <c r="F56" s="1">
        <v>7870598.8499999996</v>
      </c>
    </row>
    <row r="57" spans="1:6">
      <c r="A57">
        <v>3748</v>
      </c>
      <c r="B57">
        <v>36</v>
      </c>
      <c r="C57">
        <v>108.687</v>
      </c>
      <c r="D57">
        <v>19.562349999999999</v>
      </c>
      <c r="E57">
        <v>-155.959</v>
      </c>
      <c r="F57" s="1">
        <v>7391556.2000000002</v>
      </c>
    </row>
    <row r="58" spans="1:6">
      <c r="A58">
        <v>3755</v>
      </c>
      <c r="B58">
        <v>18</v>
      </c>
      <c r="C58">
        <v>52.006</v>
      </c>
      <c r="D58">
        <v>20.00787</v>
      </c>
      <c r="E58">
        <v>-155.82509999999999</v>
      </c>
      <c r="F58" s="1">
        <v>7034290.3300000001</v>
      </c>
    </row>
    <row r="59" spans="1:6">
      <c r="A59">
        <v>3770</v>
      </c>
      <c r="B59">
        <v>36</v>
      </c>
      <c r="C59">
        <v>240.983</v>
      </c>
      <c r="D59">
        <v>19.82621</v>
      </c>
      <c r="E59">
        <v>-155.99180000000001</v>
      </c>
      <c r="F59" s="1">
        <v>6887758.21</v>
      </c>
    </row>
    <row r="60" spans="1:6">
      <c r="A60">
        <v>3752</v>
      </c>
      <c r="B60">
        <v>18</v>
      </c>
      <c r="C60">
        <v>407.99400000000003</v>
      </c>
      <c r="D60">
        <v>19.701720000000002</v>
      </c>
      <c r="E60">
        <v>-156.03460000000001</v>
      </c>
      <c r="F60" s="1">
        <v>6425085.2999999998</v>
      </c>
    </row>
    <row r="61" spans="1:6">
      <c r="A61">
        <v>3757</v>
      </c>
      <c r="B61">
        <v>18</v>
      </c>
      <c r="C61">
        <v>70.622</v>
      </c>
      <c r="D61">
        <v>20.042629999999999</v>
      </c>
      <c r="E61">
        <v>-155.59719999999999</v>
      </c>
      <c r="F61" s="1">
        <v>6144533.4699999997</v>
      </c>
    </row>
    <row r="62" spans="1:6">
      <c r="A62">
        <v>3787</v>
      </c>
      <c r="B62">
        <v>18</v>
      </c>
      <c r="C62">
        <v>160.31200000000001</v>
      </c>
      <c r="D62">
        <v>19.43591</v>
      </c>
      <c r="E62">
        <v>-155.2741</v>
      </c>
      <c r="F62" s="1">
        <v>5718024.96</v>
      </c>
    </row>
    <row r="63" spans="1:6">
      <c r="A63">
        <v>3740</v>
      </c>
      <c r="B63">
        <v>36</v>
      </c>
      <c r="C63">
        <v>269.35399999999998</v>
      </c>
      <c r="D63">
        <v>21.297830000000001</v>
      </c>
      <c r="E63">
        <v>-157.6627</v>
      </c>
      <c r="F63" s="1">
        <v>4421709.09</v>
      </c>
    </row>
    <row r="64" spans="1:6">
      <c r="A64">
        <v>3733</v>
      </c>
      <c r="B64">
        <v>9</v>
      </c>
      <c r="C64">
        <v>70.622</v>
      </c>
      <c r="D64">
        <v>20.04411</v>
      </c>
      <c r="E64">
        <v>-155.5924</v>
      </c>
      <c r="F64" s="1">
        <v>4297910.6900000004</v>
      </c>
    </row>
    <row r="65" spans="1:6">
      <c r="A65">
        <v>3745</v>
      </c>
      <c r="B65">
        <v>27</v>
      </c>
      <c r="C65">
        <v>237.68199999999999</v>
      </c>
      <c r="D65">
        <v>19.643910000000002</v>
      </c>
      <c r="E65">
        <v>-155.99379999999999</v>
      </c>
      <c r="F65" s="1">
        <v>4283702.3099999996</v>
      </c>
    </row>
    <row r="66" spans="1:6">
      <c r="A66">
        <v>3750</v>
      </c>
      <c r="B66">
        <v>18</v>
      </c>
      <c r="C66">
        <v>152.607</v>
      </c>
      <c r="D66">
        <v>21.391179999999999</v>
      </c>
      <c r="E66">
        <v>-157.7192</v>
      </c>
      <c r="F66" s="1">
        <v>3166587</v>
      </c>
    </row>
    <row r="67" spans="1:6">
      <c r="A67">
        <v>3777</v>
      </c>
      <c r="B67">
        <v>18</v>
      </c>
      <c r="C67">
        <v>101.681</v>
      </c>
      <c r="D67">
        <v>21.963989999999999</v>
      </c>
      <c r="E67">
        <v>-159.3768</v>
      </c>
      <c r="F67" s="1">
        <v>2961968.03</v>
      </c>
    </row>
    <row r="68" spans="1:6">
      <c r="A68">
        <v>3744</v>
      </c>
      <c r="B68">
        <v>18</v>
      </c>
      <c r="C68">
        <v>56.64</v>
      </c>
      <c r="D68">
        <v>19.571480000000001</v>
      </c>
      <c r="E68">
        <v>-155.9633</v>
      </c>
      <c r="F68" s="1">
        <v>2096251.41</v>
      </c>
    </row>
    <row r="69" spans="1:6">
      <c r="A69">
        <v>3732</v>
      </c>
      <c r="B69">
        <v>18</v>
      </c>
      <c r="C69">
        <v>152.61699999999999</v>
      </c>
      <c r="D69">
        <v>19.674040000000002</v>
      </c>
      <c r="E69">
        <v>-155.0771</v>
      </c>
      <c r="F69" s="1">
        <v>1997452.66</v>
      </c>
    </row>
    <row r="70" spans="1:6">
      <c r="A70">
        <v>3754</v>
      </c>
      <c r="B70">
        <v>18</v>
      </c>
      <c r="C70">
        <v>89.290999999999997</v>
      </c>
      <c r="D70">
        <v>19.995100000000001</v>
      </c>
      <c r="E70">
        <v>-155.82259999999999</v>
      </c>
      <c r="F70" s="1">
        <v>1979770.99</v>
      </c>
    </row>
    <row r="71" spans="1:6">
      <c r="A71">
        <v>3791</v>
      </c>
      <c r="B71">
        <v>36</v>
      </c>
      <c r="C71">
        <v>85.623999999999995</v>
      </c>
      <c r="D71">
        <v>19.920670000000001</v>
      </c>
      <c r="E71">
        <v>-155.88659999999999</v>
      </c>
      <c r="F71" s="1">
        <v>1870708.85</v>
      </c>
    </row>
    <row r="72" spans="1:6">
      <c r="A72">
        <v>3793</v>
      </c>
      <c r="B72">
        <v>18</v>
      </c>
      <c r="C72">
        <v>151.79499999999999</v>
      </c>
      <c r="D72">
        <v>22.061440000000001</v>
      </c>
      <c r="E72">
        <v>-159.32089999999999</v>
      </c>
      <c r="F72" s="1">
        <v>1546276.32</v>
      </c>
    </row>
    <row r="73" spans="1:6">
      <c r="A73">
        <v>3756</v>
      </c>
      <c r="B73">
        <v>36</v>
      </c>
      <c r="C73">
        <v>88.378</v>
      </c>
      <c r="D73">
        <v>19.93637</v>
      </c>
      <c r="E73">
        <v>-155.8665</v>
      </c>
      <c r="F73" s="1">
        <v>1539721.46</v>
      </c>
    </row>
    <row r="74" spans="1:6">
      <c r="A74">
        <v>3784</v>
      </c>
      <c r="B74">
        <v>72</v>
      </c>
      <c r="C74">
        <v>143.916</v>
      </c>
      <c r="D74">
        <v>22.220120000000001</v>
      </c>
      <c r="E74">
        <v>-159.4829</v>
      </c>
      <c r="F74" s="1">
        <v>1520077.48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HI_Golf_Courses_with_Addresses</vt:lpstr>
      <vt:lpstr>HI Golf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 Manolakis</cp:lastModifiedBy>
  <dcterms:created xsi:type="dcterms:W3CDTF">2026-04-13T23:10:23Z</dcterms:created>
  <dcterms:modified xsi:type="dcterms:W3CDTF">2026-04-13T23:13:43Z</dcterms:modified>
</cp:coreProperties>
</file>